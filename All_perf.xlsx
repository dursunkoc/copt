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tdkoc/Documents/dev/workspaces/python/copt/"/>
    </mc:Choice>
  </mc:AlternateContent>
  <xr:revisionPtr revIDLastSave="0" documentId="13_ncr:1_{71037805-A046-C24C-9E92-E4F1F848206F}" xr6:coauthVersionLast="47" xr6:coauthVersionMax="47" xr10:uidLastSave="{00000000-0000-0000-0000-000000000000}"/>
  <bookViews>
    <workbookView xWindow="0" yWindow="680" windowWidth="34560" windowHeight="20440" activeTab="2" xr2:uid="{544C10BC-9448-4CAA-97CB-C174D9523FCA}"/>
  </bookViews>
  <sheets>
    <sheet name="loose channel" sheetId="1" r:id="rId1"/>
    <sheet name="Durations" sheetId="2" r:id="rId2"/>
    <sheet name="strict channel" sheetId="3" r:id="rId3"/>
    <sheet name="Sheet1" sheetId="4" r:id="rId4"/>
    <sheet name="NetworkingEXX" sheetId="5" r:id="rId5"/>
    <sheet name="NetworkingLESS" sheetId="7" r:id="rId6"/>
    <sheet name="Sheet2" sheetId="16" r:id="rId7"/>
    <sheet name="TestInstances" sheetId="8" r:id="rId8"/>
    <sheet name="OV over DM" sheetId="13" r:id="rId9"/>
    <sheet name="OvGap" sheetId="9" r:id="rId10"/>
    <sheet name="IntraGap" sheetId="10" r:id="rId11"/>
    <sheet name="Net Effect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19" i="3"/>
  <c r="AR5" i="7"/>
  <c r="AR6" i="7"/>
  <c r="AR7" i="7"/>
  <c r="AR8" i="7"/>
  <c r="B6" i="15" s="1"/>
  <c r="AR9" i="7"/>
  <c r="B7" i="15" s="1"/>
  <c r="AR10" i="7"/>
  <c r="B8" i="15" s="1"/>
  <c r="AR11" i="7"/>
  <c r="B9" i="15" s="1"/>
  <c r="AR12" i="7"/>
  <c r="B10" i="15" s="1"/>
  <c r="AR13" i="7"/>
  <c r="B11" i="15" s="1"/>
  <c r="AR14" i="7"/>
  <c r="B12" i="15" s="1"/>
  <c r="AR15" i="7"/>
  <c r="B13" i="15" s="1"/>
  <c r="AR16" i="7"/>
  <c r="B14" i="15" s="1"/>
  <c r="AR17" i="7"/>
  <c r="AR18" i="7"/>
  <c r="AR19" i="7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2" i="16"/>
  <c r="AU20" i="7"/>
  <c r="E18" i="15" s="1"/>
  <c r="AU21" i="7"/>
  <c r="E19" i="15" s="1"/>
  <c r="AU22" i="7"/>
  <c r="E20" i="15" s="1"/>
  <c r="AU23" i="7"/>
  <c r="E21" i="15" s="1"/>
  <c r="AU24" i="7"/>
  <c r="E22" i="15" s="1"/>
  <c r="AU25" i="7"/>
  <c r="E23" i="15" s="1"/>
  <c r="AU6" i="7"/>
  <c r="E4" i="15" s="1"/>
  <c r="AU7" i="7"/>
  <c r="E5" i="15" s="1"/>
  <c r="AU8" i="7"/>
  <c r="E6" i="15" s="1"/>
  <c r="AU9" i="7"/>
  <c r="E7" i="15" s="1"/>
  <c r="AU10" i="7"/>
  <c r="E8" i="15" s="1"/>
  <c r="AU11" i="7"/>
  <c r="E9" i="15" s="1"/>
  <c r="AU12" i="7"/>
  <c r="E10" i="15" s="1"/>
  <c r="AU13" i="7"/>
  <c r="E11" i="15" s="1"/>
  <c r="AU14" i="7"/>
  <c r="E12" i="15" s="1"/>
  <c r="AU15" i="7"/>
  <c r="E13" i="15" s="1"/>
  <c r="AU16" i="7"/>
  <c r="E14" i="15" s="1"/>
  <c r="AU17" i="7"/>
  <c r="E15" i="15" s="1"/>
  <c r="AU18" i="7"/>
  <c r="E16" i="15" s="1"/>
  <c r="AU19" i="7"/>
  <c r="E17" i="15" s="1"/>
  <c r="AU5" i="7"/>
  <c r="E3" i="15" s="1"/>
  <c r="B4" i="15"/>
  <c r="B5" i="15"/>
  <c r="B15" i="15"/>
  <c r="B16" i="15"/>
  <c r="B17" i="15"/>
  <c r="B3" i="15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4" i="7"/>
  <c r="Y26" i="7"/>
  <c r="Y25" i="7"/>
  <c r="Y24" i="7"/>
  <c r="Y23" i="7"/>
  <c r="Y22" i="7"/>
  <c r="Y21" i="7"/>
  <c r="Y20" i="7"/>
  <c r="Y19" i="7"/>
  <c r="Y18" i="7"/>
  <c r="Y17" i="7"/>
  <c r="Y16" i="7"/>
  <c r="Y15" i="7"/>
  <c r="Y14" i="7"/>
  <c r="Y13" i="7"/>
  <c r="Y12" i="7"/>
  <c r="Y11" i="7"/>
  <c r="Y10" i="7"/>
  <c r="Y9" i="7"/>
  <c r="Y8" i="7"/>
  <c r="Y7" i="7"/>
  <c r="Y6" i="7"/>
  <c r="Y5" i="7"/>
  <c r="Y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4" i="7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4" i="9"/>
  <c r="Q21" i="10"/>
  <c r="Q22" i="10"/>
  <c r="Q23" i="10"/>
  <c r="Q24" i="10"/>
  <c r="Q25" i="10"/>
  <c r="Q20" i="10"/>
  <c r="Q18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4" i="10"/>
  <c r="O21" i="10"/>
  <c r="O22" i="10"/>
  <c r="O23" i="10"/>
  <c r="O24" i="10"/>
  <c r="O25" i="10"/>
  <c r="O20" i="10"/>
  <c r="P21" i="10"/>
  <c r="P22" i="10"/>
  <c r="P23" i="10"/>
  <c r="P24" i="10"/>
  <c r="P25" i="10"/>
  <c r="P20" i="10"/>
  <c r="P18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N21" i="10"/>
  <c r="N22" i="10"/>
  <c r="N23" i="10"/>
  <c r="N24" i="10"/>
  <c r="N25" i="10"/>
  <c r="N20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P4" i="10"/>
  <c r="O4" i="10"/>
  <c r="N4" i="10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4" i="9"/>
  <c r="F4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28" i="9"/>
  <c r="H42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28" i="9"/>
  <c r="G4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28" i="9"/>
  <c r="AK4" i="7"/>
  <c r="P4" i="9" s="1"/>
  <c r="AE5" i="7"/>
  <c r="L5" i="10" s="1"/>
  <c r="AE6" i="7"/>
  <c r="L6" i="10" s="1"/>
  <c r="AE7" i="7"/>
  <c r="L7" i="10" s="1"/>
  <c r="AE8" i="7"/>
  <c r="L8" i="10" s="1"/>
  <c r="AE9" i="7"/>
  <c r="L9" i="10" s="1"/>
  <c r="AE10" i="7"/>
  <c r="L10" i="10" s="1"/>
  <c r="AE11" i="7"/>
  <c r="L11" i="10" s="1"/>
  <c r="AE12" i="7"/>
  <c r="L12" i="10" s="1"/>
  <c r="AE13" i="7"/>
  <c r="L13" i="10" s="1"/>
  <c r="AE14" i="7"/>
  <c r="L14" i="10" s="1"/>
  <c r="AE15" i="7"/>
  <c r="L15" i="10" s="1"/>
  <c r="AE16" i="7"/>
  <c r="L16" i="10" s="1"/>
  <c r="AE17" i="7"/>
  <c r="L17" i="10" s="1"/>
  <c r="AE18" i="7"/>
  <c r="L18" i="10" s="1"/>
  <c r="AE19" i="7"/>
  <c r="AE20" i="7"/>
  <c r="L20" i="10" s="1"/>
  <c r="AE21" i="7"/>
  <c r="L21" i="10" s="1"/>
  <c r="AE22" i="7"/>
  <c r="L22" i="10" s="1"/>
  <c r="AE23" i="7"/>
  <c r="L23" i="10" s="1"/>
  <c r="AE24" i="7"/>
  <c r="L24" i="10" s="1"/>
  <c r="AE25" i="7"/>
  <c r="L25" i="10" s="1"/>
  <c r="AE26" i="7"/>
  <c r="AE4" i="7"/>
  <c r="L4" i="10" s="1"/>
  <c r="X26" i="7"/>
  <c r="X25" i="7"/>
  <c r="K25" i="10" s="1"/>
  <c r="X24" i="7"/>
  <c r="K24" i="10" s="1"/>
  <c r="X23" i="7"/>
  <c r="K23" i="10" s="1"/>
  <c r="X22" i="7"/>
  <c r="K22" i="10" s="1"/>
  <c r="X21" i="7"/>
  <c r="K21" i="10" s="1"/>
  <c r="X20" i="7"/>
  <c r="K20" i="10" s="1"/>
  <c r="X19" i="7"/>
  <c r="K18" i="10" s="1"/>
  <c r="X18" i="7"/>
  <c r="K17" i="10" s="1"/>
  <c r="X17" i="7"/>
  <c r="K16" i="10" s="1"/>
  <c r="X16" i="7"/>
  <c r="K15" i="10" s="1"/>
  <c r="X15" i="7"/>
  <c r="K14" i="10" s="1"/>
  <c r="X14" i="7"/>
  <c r="K13" i="10" s="1"/>
  <c r="X13" i="7"/>
  <c r="K12" i="10" s="1"/>
  <c r="X12" i="7"/>
  <c r="K11" i="10" s="1"/>
  <c r="X11" i="7"/>
  <c r="K10" i="10" s="1"/>
  <c r="X10" i="7"/>
  <c r="K9" i="10" s="1"/>
  <c r="X9" i="7"/>
  <c r="K8" i="10" s="1"/>
  <c r="X8" i="7"/>
  <c r="K7" i="10" s="1"/>
  <c r="X7" i="7"/>
  <c r="K6" i="10" s="1"/>
  <c r="X6" i="7"/>
  <c r="K5" i="10" s="1"/>
  <c r="X5" i="7"/>
  <c r="K4" i="10" s="1"/>
  <c r="X4" i="7"/>
  <c r="P5" i="7"/>
  <c r="J4" i="10" s="1"/>
  <c r="P6" i="7"/>
  <c r="J5" i="10" s="1"/>
  <c r="P7" i="7"/>
  <c r="J6" i="10" s="1"/>
  <c r="P8" i="7"/>
  <c r="J7" i="10" s="1"/>
  <c r="P9" i="7"/>
  <c r="J8" i="10" s="1"/>
  <c r="P10" i="7"/>
  <c r="J9" i="10" s="1"/>
  <c r="P11" i="7"/>
  <c r="J10" i="10" s="1"/>
  <c r="P12" i="7"/>
  <c r="J11" i="10" s="1"/>
  <c r="P13" i="7"/>
  <c r="J12" i="10" s="1"/>
  <c r="P14" i="7"/>
  <c r="J13" i="10" s="1"/>
  <c r="P15" i="7"/>
  <c r="J14" i="10" s="1"/>
  <c r="P16" i="7"/>
  <c r="J15" i="10" s="1"/>
  <c r="P17" i="7"/>
  <c r="J16" i="10" s="1"/>
  <c r="P18" i="7"/>
  <c r="J17" i="10" s="1"/>
  <c r="P19" i="7"/>
  <c r="J18" i="10" s="1"/>
  <c r="P20" i="7"/>
  <c r="J20" i="10" s="1"/>
  <c r="P21" i="7"/>
  <c r="J21" i="10" s="1"/>
  <c r="P22" i="7"/>
  <c r="J22" i="10" s="1"/>
  <c r="P23" i="7"/>
  <c r="J23" i="10" s="1"/>
  <c r="P24" i="7"/>
  <c r="J24" i="10" s="1"/>
  <c r="P25" i="7"/>
  <c r="J25" i="10" s="1"/>
  <c r="P26" i="7"/>
  <c r="P4" i="7"/>
  <c r="N4" i="7"/>
  <c r="N5" i="7"/>
  <c r="B4" i="9" s="1"/>
  <c r="N6" i="7"/>
  <c r="B5" i="9" s="1"/>
  <c r="N7" i="7"/>
  <c r="M6" i="9" s="1"/>
  <c r="N8" i="7"/>
  <c r="B7" i="9" s="1"/>
  <c r="N9" i="7"/>
  <c r="B32" i="9" s="1"/>
  <c r="N10" i="7"/>
  <c r="B9" i="9" s="1"/>
  <c r="N11" i="7"/>
  <c r="B10" i="9" s="1"/>
  <c r="N12" i="7"/>
  <c r="B11" i="9" s="1"/>
  <c r="N13" i="7"/>
  <c r="B12" i="9" s="1"/>
  <c r="N14" i="7"/>
  <c r="B13" i="9" s="1"/>
  <c r="N15" i="7"/>
  <c r="B38" i="9" s="1"/>
  <c r="N16" i="7"/>
  <c r="B39" i="9" s="1"/>
  <c r="N17" i="7"/>
  <c r="M16" i="9" s="1"/>
  <c r="N18" i="7"/>
  <c r="B17" i="9" s="1"/>
  <c r="N19" i="7"/>
  <c r="M18" i="9" s="1"/>
  <c r="AK17" i="7"/>
  <c r="P17" i="9" s="1"/>
  <c r="AK16" i="7"/>
  <c r="P16" i="9" s="1"/>
  <c r="AK15" i="7"/>
  <c r="P15" i="9" s="1"/>
  <c r="AK14" i="7"/>
  <c r="P14" i="9" s="1"/>
  <c r="AK13" i="7"/>
  <c r="P13" i="9" s="1"/>
  <c r="AK12" i="7"/>
  <c r="P12" i="9" s="1"/>
  <c r="AK11" i="7"/>
  <c r="P11" i="9" s="1"/>
  <c r="AK8" i="7"/>
  <c r="P8" i="9" s="1"/>
  <c r="AK19" i="7"/>
  <c r="AK10" i="7"/>
  <c r="P10" i="9" s="1"/>
  <c r="AK9" i="7"/>
  <c r="P9" i="9" s="1"/>
  <c r="AK7" i="7"/>
  <c r="P7" i="9" s="1"/>
  <c r="AK18" i="7"/>
  <c r="P18" i="9" s="1"/>
  <c r="AK6" i="7"/>
  <c r="P6" i="9" s="1"/>
  <c r="AK5" i="7"/>
  <c r="P5" i="9" s="1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20" i="10"/>
  <c r="G21" i="10"/>
  <c r="G22" i="10"/>
  <c r="G23" i="10"/>
  <c r="G24" i="10"/>
  <c r="G25" i="10"/>
  <c r="G4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20" i="10"/>
  <c r="F21" i="10"/>
  <c r="F22" i="10"/>
  <c r="F23" i="10"/>
  <c r="F24" i="10"/>
  <c r="F25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20" i="10"/>
  <c r="E21" i="10"/>
  <c r="E22" i="10"/>
  <c r="E23" i="10"/>
  <c r="E24" i="10"/>
  <c r="E25" i="10"/>
  <c r="E4" i="10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W4" i="7"/>
  <c r="W5" i="7"/>
  <c r="C4" i="10" s="1"/>
  <c r="O4" i="7"/>
  <c r="AR20" i="7" l="1"/>
  <c r="B18" i="15"/>
  <c r="E24" i="15"/>
  <c r="B15" i="9"/>
  <c r="M15" i="9"/>
  <c r="B18" i="9"/>
  <c r="B6" i="9"/>
  <c r="B41" i="9"/>
  <c r="M17" i="9"/>
  <c r="M5" i="9"/>
  <c r="O19" i="10"/>
  <c r="M14" i="9"/>
  <c r="M12" i="9"/>
  <c r="M8" i="9"/>
  <c r="B14" i="9"/>
  <c r="B8" i="9"/>
  <c r="B36" i="9"/>
  <c r="B29" i="9"/>
  <c r="K26" i="10"/>
  <c r="N19" i="10"/>
  <c r="P19" i="10"/>
  <c r="P26" i="10"/>
  <c r="U19" i="9"/>
  <c r="L26" i="10"/>
  <c r="J26" i="10"/>
  <c r="B16" i="9"/>
  <c r="B28" i="9"/>
  <c r="B31" i="9"/>
  <c r="M4" i="9"/>
  <c r="M7" i="9"/>
  <c r="B42" i="9"/>
  <c r="B30" i="9"/>
  <c r="B40" i="9"/>
  <c r="K19" i="10"/>
  <c r="J19" i="10"/>
  <c r="B37" i="9"/>
  <c r="M13" i="9"/>
  <c r="B35" i="9"/>
  <c r="M11" i="9"/>
  <c r="Q19" i="10"/>
  <c r="B34" i="9"/>
  <c r="M10" i="9"/>
  <c r="B33" i="9"/>
  <c r="M9" i="9"/>
  <c r="L19" i="10"/>
  <c r="N26" i="10"/>
  <c r="O26" i="10"/>
  <c r="Q26" i="10"/>
  <c r="P19" i="9"/>
  <c r="S19" i="9"/>
  <c r="V19" i="9"/>
  <c r="T19" i="9"/>
  <c r="R19" i="9"/>
  <c r="F43" i="9"/>
  <c r="G43" i="9"/>
  <c r="H43" i="9"/>
  <c r="I43" i="9"/>
  <c r="E19" i="10"/>
  <c r="G19" i="10"/>
  <c r="F26" i="10"/>
  <c r="G26" i="10"/>
  <c r="F19" i="10"/>
  <c r="E26" i="10"/>
  <c r="I19" i="9"/>
  <c r="H19" i="9"/>
  <c r="F19" i="9"/>
  <c r="G19" i="9"/>
  <c r="W20" i="7"/>
  <c r="C20" i="10" s="1"/>
  <c r="W21" i="7"/>
  <c r="C21" i="10" s="1"/>
  <c r="W22" i="7"/>
  <c r="C22" i="10" s="1"/>
  <c r="W23" i="7"/>
  <c r="C23" i="10" s="1"/>
  <c r="W24" i="7"/>
  <c r="C24" i="10" s="1"/>
  <c r="W25" i="7"/>
  <c r="C25" i="10" s="1"/>
  <c r="W26" i="7"/>
  <c r="O20" i="7"/>
  <c r="B20" i="10" s="1"/>
  <c r="O21" i="7"/>
  <c r="B21" i="10" s="1"/>
  <c r="O22" i="7"/>
  <c r="B22" i="10" s="1"/>
  <c r="O23" i="7"/>
  <c r="B23" i="10" s="1"/>
  <c r="O24" i="7"/>
  <c r="B24" i="10" s="1"/>
  <c r="O25" i="7"/>
  <c r="B25" i="10" s="1"/>
  <c r="O26" i="7"/>
  <c r="W19" i="7"/>
  <c r="C18" i="10" s="1"/>
  <c r="W18" i="7"/>
  <c r="C17" i="10" s="1"/>
  <c r="W17" i="7"/>
  <c r="C16" i="10" s="1"/>
  <c r="W16" i="7"/>
  <c r="C15" i="10" s="1"/>
  <c r="W15" i="7"/>
  <c r="C14" i="10" s="1"/>
  <c r="W14" i="7"/>
  <c r="C13" i="10" s="1"/>
  <c r="W13" i="7"/>
  <c r="C12" i="10" s="1"/>
  <c r="W12" i="7"/>
  <c r="C11" i="10" s="1"/>
  <c r="W11" i="7"/>
  <c r="C10" i="10" s="1"/>
  <c r="W10" i="7"/>
  <c r="C9" i="10" s="1"/>
  <c r="W9" i="7"/>
  <c r="C8" i="10" s="1"/>
  <c r="W8" i="7"/>
  <c r="C7" i="10" s="1"/>
  <c r="W7" i="7"/>
  <c r="C6" i="10" s="1"/>
  <c r="W6" i="7"/>
  <c r="C5" i="10" s="1"/>
  <c r="O6" i="7"/>
  <c r="B5" i="10" s="1"/>
  <c r="O7" i="7"/>
  <c r="B6" i="10" s="1"/>
  <c r="O8" i="7"/>
  <c r="B7" i="10" s="1"/>
  <c r="O9" i="7"/>
  <c r="B8" i="10" s="1"/>
  <c r="O10" i="7"/>
  <c r="B9" i="10" s="1"/>
  <c r="O11" i="7"/>
  <c r="B10" i="10" s="1"/>
  <c r="O12" i="7"/>
  <c r="B11" i="10" s="1"/>
  <c r="O13" i="7"/>
  <c r="B12" i="10" s="1"/>
  <c r="O14" i="7"/>
  <c r="B13" i="10" s="1"/>
  <c r="O15" i="7"/>
  <c r="B14" i="10" s="1"/>
  <c r="O16" i="7"/>
  <c r="B15" i="10" s="1"/>
  <c r="O17" i="7"/>
  <c r="B16" i="10" s="1"/>
  <c r="O18" i="7"/>
  <c r="B17" i="10" s="1"/>
  <c r="O19" i="7"/>
  <c r="B18" i="10" s="1"/>
  <c r="O5" i="7"/>
  <c r="B4" i="10" s="1"/>
  <c r="AD19" i="7"/>
  <c r="AD18" i="7"/>
  <c r="V19" i="7"/>
  <c r="V18" i="7"/>
  <c r="AD17" i="7"/>
  <c r="AD16" i="7"/>
  <c r="AD15" i="7"/>
  <c r="AD14" i="7"/>
  <c r="AD13" i="7"/>
  <c r="AD12" i="7"/>
  <c r="AD11" i="7"/>
  <c r="AD10" i="7"/>
  <c r="AD9" i="7"/>
  <c r="AD8" i="7"/>
  <c r="AD7" i="7"/>
  <c r="AD6" i="7"/>
  <c r="AD5" i="7"/>
  <c r="AD4" i="7"/>
  <c r="V17" i="7"/>
  <c r="V16" i="7"/>
  <c r="V15" i="7"/>
  <c r="V14" i="7"/>
  <c r="V13" i="7"/>
  <c r="V12" i="7"/>
  <c r="V11" i="7"/>
  <c r="V10" i="7"/>
  <c r="V9" i="7"/>
  <c r="V8" i="7"/>
  <c r="V7" i="7"/>
  <c r="V6" i="7"/>
  <c r="V5" i="7"/>
  <c r="V4" i="7"/>
  <c r="B19" i="4"/>
  <c r="B19" i="9" l="1"/>
  <c r="B43" i="9"/>
  <c r="M19" i="9"/>
  <c r="B26" i="10"/>
  <c r="B19" i="10"/>
  <c r="C19" i="10"/>
  <c r="C26" i="10"/>
  <c r="C28" i="9"/>
  <c r="N4" i="9"/>
  <c r="C4" i="9"/>
  <c r="N16" i="9"/>
  <c r="C40" i="9"/>
  <c r="C16" i="9"/>
  <c r="O14" i="9"/>
  <c r="D38" i="9"/>
  <c r="D14" i="9"/>
  <c r="N15" i="9"/>
  <c r="C39" i="9"/>
  <c r="C15" i="9"/>
  <c r="O13" i="9"/>
  <c r="D37" i="9"/>
  <c r="D13" i="9"/>
  <c r="N5" i="9"/>
  <c r="C29" i="9"/>
  <c r="C5" i="9"/>
  <c r="O15" i="9"/>
  <c r="D15" i="9"/>
  <c r="D39" i="9"/>
  <c r="C6" i="9"/>
  <c r="N6" i="9"/>
  <c r="C30" i="9"/>
  <c r="D28" i="9"/>
  <c r="D4" i="9"/>
  <c r="O4" i="9"/>
  <c r="D16" i="9"/>
  <c r="O16" i="9"/>
  <c r="D40" i="9"/>
  <c r="C7" i="9"/>
  <c r="N7" i="9"/>
  <c r="C31" i="9"/>
  <c r="D29" i="9"/>
  <c r="D5" i="9"/>
  <c r="O5" i="9"/>
  <c r="N17" i="9"/>
  <c r="C41" i="9"/>
  <c r="C17" i="9"/>
  <c r="C18" i="9"/>
  <c r="N18" i="9"/>
  <c r="C42" i="9"/>
  <c r="C33" i="9"/>
  <c r="C9" i="9"/>
  <c r="N9" i="9"/>
  <c r="D31" i="9"/>
  <c r="D7" i="9"/>
  <c r="O7" i="9"/>
  <c r="D41" i="9"/>
  <c r="D17" i="9"/>
  <c r="O17" i="9"/>
  <c r="D30" i="9"/>
  <c r="D6" i="9"/>
  <c r="O6" i="9"/>
  <c r="C8" i="9"/>
  <c r="N8" i="9"/>
  <c r="C32" i="9"/>
  <c r="C12" i="9"/>
  <c r="N12" i="9"/>
  <c r="C36" i="9"/>
  <c r="N10" i="9"/>
  <c r="C34" i="9"/>
  <c r="C10" i="9"/>
  <c r="D32" i="9"/>
  <c r="D8" i="9"/>
  <c r="O8" i="9"/>
  <c r="D42" i="9"/>
  <c r="D18" i="9"/>
  <c r="O18" i="9"/>
  <c r="N11" i="9"/>
  <c r="C11" i="9"/>
  <c r="C35" i="9"/>
  <c r="O9" i="9"/>
  <c r="D33" i="9"/>
  <c r="D9" i="9"/>
  <c r="D10" i="9"/>
  <c r="D34" i="9"/>
  <c r="O10" i="9"/>
  <c r="C37" i="9"/>
  <c r="C13" i="9"/>
  <c r="N13" i="9"/>
  <c r="D35" i="9"/>
  <c r="D11" i="9"/>
  <c r="O11" i="9"/>
  <c r="C38" i="9"/>
  <c r="C14" i="9"/>
  <c r="N14" i="9"/>
  <c r="D12" i="9"/>
  <c r="D36" i="9"/>
  <c r="O12" i="9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2" i="3"/>
  <c r="H46" i="1"/>
  <c r="H45" i="1"/>
  <c r="H44" i="1"/>
  <c r="H43" i="1"/>
  <c r="H42" i="1"/>
  <c r="H41" i="1"/>
  <c r="H40" i="1"/>
  <c r="H39" i="1"/>
  <c r="H38" i="1"/>
  <c r="D46" i="1"/>
  <c r="D45" i="1"/>
  <c r="D44" i="1"/>
  <c r="D43" i="1"/>
  <c r="D42" i="1"/>
  <c r="D41" i="1"/>
  <c r="L46" i="1"/>
  <c r="L45" i="1"/>
  <c r="L44" i="1"/>
  <c r="L43" i="1"/>
  <c r="L42" i="1"/>
  <c r="L41" i="1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K2" i="3"/>
  <c r="D40" i="1"/>
  <c r="D39" i="1"/>
  <c r="D33" i="1"/>
  <c r="D31" i="1"/>
  <c r="D30" i="1"/>
  <c r="D28" i="1"/>
  <c r="D27" i="1"/>
  <c r="D26" i="1"/>
  <c r="D24" i="1"/>
  <c r="D23" i="1"/>
  <c r="D21" i="1"/>
  <c r="D38" i="1"/>
  <c r="D37" i="1"/>
  <c r="D36" i="1"/>
  <c r="D29" i="1"/>
  <c r="D25" i="1"/>
  <c r="D22" i="1"/>
  <c r="D32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L34" i="1"/>
  <c r="L29" i="1"/>
  <c r="L28" i="1"/>
  <c r="L27" i="1"/>
  <c r="L26" i="1"/>
  <c r="L25" i="1"/>
  <c r="L20" i="1"/>
  <c r="L19" i="1"/>
  <c r="L40" i="1"/>
  <c r="L39" i="1"/>
  <c r="L33" i="1"/>
  <c r="L32" i="1"/>
  <c r="L31" i="1"/>
  <c r="L30" i="1"/>
  <c r="L24" i="1"/>
  <c r="L23" i="1"/>
  <c r="L21" i="1"/>
  <c r="L22" i="1"/>
  <c r="L35" i="1"/>
  <c r="L36" i="1"/>
  <c r="L37" i="1"/>
  <c r="L38" i="1"/>
  <c r="D19" i="1"/>
  <c r="D20" i="1"/>
  <c r="D34" i="1"/>
  <c r="D35" i="1"/>
  <c r="O19" i="9" l="1"/>
  <c r="C19" i="9"/>
  <c r="D19" i="9"/>
  <c r="N19" i="9"/>
  <c r="D43" i="9"/>
  <c r="C43" i="9"/>
  <c r="L14" i="1"/>
  <c r="L15" i="1"/>
  <c r="L16" i="1"/>
  <c r="L17" i="1"/>
  <c r="L18" i="1"/>
  <c r="L12" i="1"/>
  <c r="L13" i="1"/>
  <c r="L11" i="1"/>
  <c r="L10" i="1"/>
  <c r="L9" i="1"/>
  <c r="L8" i="1"/>
  <c r="L7" i="1"/>
  <c r="L6" i="1"/>
  <c r="L5" i="1"/>
  <c r="L4" i="1"/>
  <c r="L3" i="1"/>
  <c r="L2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AU26" i="7"/>
</calcChain>
</file>

<file path=xl/sharedStrings.xml><?xml version="1.0" encoding="utf-8"?>
<sst xmlns="http://schemas.openxmlformats.org/spreadsheetml/2006/main" count="193" uniqueCount="64">
  <si>
    <t>Exact</t>
  </si>
  <si>
    <t>Instance</t>
  </si>
  <si>
    <t>Basic Greedy</t>
  </si>
  <si>
    <t>Gap %</t>
  </si>
  <si>
    <t>average</t>
  </si>
  <si>
    <t>Relax+Greedy</t>
  </si>
  <si>
    <t>Aggregate+Greedy</t>
  </si>
  <si>
    <t>BIP</t>
  </si>
  <si>
    <t>Upper Bound</t>
  </si>
  <si>
    <t>Customer</t>
  </si>
  <si>
    <t>Campaign</t>
  </si>
  <si>
    <t>Objective Value</t>
  </si>
  <si>
    <t>Duration</t>
  </si>
  <si>
    <t>Direct Message</t>
  </si>
  <si>
    <t>edges</t>
  </si>
  <si>
    <t>Direct Messages</t>
  </si>
  <si>
    <t>Greed With Alg-A</t>
  </si>
  <si>
    <t>Greed With Alg-B</t>
  </si>
  <si>
    <t>Greed With Alg-C</t>
  </si>
  <si>
    <t>OV Diff</t>
  </si>
  <si>
    <t>OV-C Diff</t>
  </si>
  <si>
    <t>Small</t>
  </si>
  <si>
    <t>c</t>
  </si>
  <si>
    <t>u</t>
  </si>
  <si>
    <t>a</t>
  </si>
  <si>
    <t>Medium</t>
  </si>
  <si>
    <t>Large</t>
  </si>
  <si>
    <t>Objective Value Gap (%)</t>
  </si>
  <si>
    <t>Time (sec)</t>
  </si>
  <si>
    <t>Average</t>
  </si>
  <si>
    <t>Exact(BIP)</t>
  </si>
  <si>
    <t>A+G Algorithm-A</t>
  </si>
  <si>
    <t>A+G Algorithm-B</t>
  </si>
  <si>
    <t>A+G Algorithm-C</t>
  </si>
  <si>
    <t>Objective Value Gap To Algorithm-C(%)</t>
  </si>
  <si>
    <t>OV-S Diff</t>
  </si>
  <si>
    <t>SA+Greed With Alg-C</t>
  </si>
  <si>
    <t>Agg+Grdy
Alg-A</t>
  </si>
  <si>
    <t>Agg+Grdy
Alg-B</t>
  </si>
  <si>
    <t>Agg+Grdy
Alg-C</t>
  </si>
  <si>
    <t>SimA+Grdy Alg-C</t>
  </si>
  <si>
    <t>SimAnn+Grdy
Alg-C</t>
  </si>
  <si>
    <t>Obj. Value Gap To 
SimAnn+Grdy Alg-C(\%)</t>
  </si>
  <si>
    <t>OV/DM</t>
  </si>
  <si>
    <t>-</t>
  </si>
  <si>
    <t>Exact (CPLEX Solver)</t>
  </si>
  <si>
    <t>Agg+ Grdy(A)</t>
  </si>
  <si>
    <t>Agg+Grdy(B)</t>
  </si>
  <si>
    <t>SA+Agg+
Grdy©</t>
  </si>
  <si>
    <t>Exact/NO - NET</t>
  </si>
  <si>
    <t>Net Ratio</t>
  </si>
  <si>
    <t>SA+Greed With Alg-C/NO - NET</t>
  </si>
  <si>
    <t>AVG</t>
  </si>
  <si>
    <t>Ratio of Objective Value</t>
  </si>
  <si>
    <t>Instace</t>
  </si>
  <si>
    <t>Objective Value Net Applied</t>
  </si>
  <si>
    <t>Objective Value No Net</t>
  </si>
  <si>
    <t>Net Optimized</t>
  </si>
  <si>
    <t>No Net Optimized</t>
  </si>
  <si>
    <t>No Net Opt/ Net Applied</t>
  </si>
  <si>
    <t>Edges</t>
  </si>
  <si>
    <t>Net Opt Success</t>
  </si>
  <si>
    <t>MaxDegree</t>
  </si>
  <si>
    <t>AverageDegre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</si>
</sst>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0.0"/>
    <numFmt numFmtId="166" formatCode="_(* #,##0.00_);_(* \(#,##0.00\);_(* &quot;-&quot;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7CE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4" borderId="0" applyNumberFormat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7">
    <xf numFmtId="0" fontId="0" fillId="0" borderId="0" xfId="0"/>
    <xf numFmtId="0" fontId="0" fillId="2" borderId="0" xfId="0" applyFill="1"/>
    <xf numFmtId="164" fontId="0" fillId="0" borderId="0" xfId="1" applyNumberFormat="1" applyFont="1"/>
    <xf numFmtId="10" fontId="0" fillId="0" borderId="0" xfId="1" applyNumberFormat="1" applyFont="1"/>
    <xf numFmtId="2" fontId="0" fillId="0" borderId="0" xfId="0" applyNumberFormat="1"/>
    <xf numFmtId="10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3" borderId="0" xfId="0" applyFill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3" xfId="0" applyFont="1" applyBorder="1"/>
    <xf numFmtId="9" fontId="0" fillId="0" borderId="4" xfId="1" applyFont="1" applyBorder="1"/>
    <xf numFmtId="0" fontId="2" fillId="0" borderId="5" xfId="0" applyFont="1" applyBorder="1"/>
    <xf numFmtId="9" fontId="0" fillId="0" borderId="6" xfId="1" applyFont="1" applyBorder="1"/>
    <xf numFmtId="9" fontId="0" fillId="0" borderId="2" xfId="0" applyNumberFormat="1" applyBorder="1"/>
    <xf numFmtId="0" fontId="0" fillId="0" borderId="7" xfId="0" applyBorder="1"/>
    <xf numFmtId="0" fontId="0" fillId="0" borderId="0" xfId="0" applyAlignment="1">
      <alignment horizontal="center"/>
    </xf>
    <xf numFmtId="0" fontId="3" fillId="4" borderId="0" xfId="2"/>
    <xf numFmtId="165" fontId="0" fillId="0" borderId="0" xfId="0" applyNumberFormat="1"/>
    <xf numFmtId="0" fontId="0" fillId="0" borderId="8" xfId="0" applyBorder="1"/>
    <xf numFmtId="0" fontId="0" fillId="0" borderId="9" xfId="0" applyBorder="1"/>
    <xf numFmtId="9" fontId="0" fillId="0" borderId="0" xfId="1" applyFont="1"/>
    <xf numFmtId="9" fontId="0" fillId="0" borderId="0" xfId="1" applyFont="1" applyBorder="1"/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9" fontId="0" fillId="0" borderId="10" xfId="1" applyFont="1" applyBorder="1"/>
    <xf numFmtId="165" fontId="0" fillId="0" borderId="10" xfId="0" applyNumberFormat="1" applyBorder="1"/>
    <xf numFmtId="0" fontId="0" fillId="0" borderId="10" xfId="0" applyBorder="1"/>
    <xf numFmtId="0" fontId="2" fillId="0" borderId="0" xfId="0" applyFont="1" applyAlignment="1">
      <alignment horizontal="center"/>
    </xf>
    <xf numFmtId="0" fontId="0" fillId="0" borderId="11" xfId="0" applyBorder="1"/>
    <xf numFmtId="0" fontId="2" fillId="0" borderId="11" xfId="0" applyFont="1" applyBorder="1"/>
    <xf numFmtId="9" fontId="2" fillId="0" borderId="0" xfId="0" applyNumberFormat="1" applyFont="1"/>
    <xf numFmtId="0" fontId="2" fillId="0" borderId="9" xfId="0" applyFont="1" applyBorder="1"/>
    <xf numFmtId="9" fontId="2" fillId="0" borderId="10" xfId="0" applyNumberFormat="1" applyFont="1" applyBorder="1"/>
    <xf numFmtId="0" fontId="2" fillId="0" borderId="15" xfId="0" applyFont="1" applyBorder="1"/>
    <xf numFmtId="2" fontId="2" fillId="0" borderId="10" xfId="1" applyNumberFormat="1" applyFont="1" applyBorder="1" applyAlignment="1">
      <alignment horizontal="right"/>
    </xf>
    <xf numFmtId="165" fontId="2" fillId="0" borderId="0" xfId="0" applyNumberFormat="1" applyFont="1" applyAlignment="1">
      <alignment horizontal="right" vertical="center" wrapText="1"/>
    </xf>
    <xf numFmtId="0" fontId="2" fillId="0" borderId="10" xfId="0" applyFont="1" applyBorder="1"/>
    <xf numFmtId="164" fontId="2" fillId="0" borderId="0" xfId="0" applyNumberFormat="1" applyFont="1"/>
    <xf numFmtId="164" fontId="0" fillId="0" borderId="0" xfId="1" applyNumberFormat="1" applyFont="1" applyBorder="1"/>
    <xf numFmtId="164" fontId="0" fillId="0" borderId="10" xfId="1" applyNumberFormat="1" applyFont="1" applyBorder="1"/>
    <xf numFmtId="164" fontId="2" fillId="0" borderId="10" xfId="0" applyNumberFormat="1" applyFont="1" applyBorder="1"/>
    <xf numFmtId="2" fontId="2" fillId="0" borderId="0" xfId="0" applyNumberFormat="1" applyFont="1"/>
    <xf numFmtId="2" fontId="0" fillId="0" borderId="0" xfId="0" applyNumberFormat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1" xfId="0" applyNumberFormat="1" applyBorder="1"/>
    <xf numFmtId="166" fontId="2" fillId="0" borderId="0" xfId="4" applyNumberFormat="1" applyFont="1"/>
    <xf numFmtId="166" fontId="2" fillId="0" borderId="10" xfId="4" applyNumberFormat="1" applyFont="1" applyBorder="1"/>
    <xf numFmtId="43" fontId="2" fillId="0" borderId="0" xfId="3" applyFont="1"/>
    <xf numFmtId="43" fontId="2" fillId="0" borderId="10" xfId="3" applyFont="1" applyBorder="1"/>
    <xf numFmtId="0" fontId="4" fillId="0" borderId="0" xfId="0" applyFont="1"/>
    <xf numFmtId="2" fontId="4" fillId="0" borderId="0" xfId="0" applyNumberFormat="1" applyFon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wrapText="1"/>
    </xf>
  </cellXfs>
  <cellStyles count="5">
    <cellStyle name="Bad" xfId="2" builtinId="27"/>
    <cellStyle name="Comma" xfId="3" builtinId="3"/>
    <cellStyle name="Comma [0]" xfId="4" builtinId="6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A5A5A5"/>
      <color rgb="FFED7D31"/>
      <color rgb="FFFFC102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'loose channel'!$B$1:$D$1</c:f>
              <c:strCache>
                <c:ptCount val="1"/>
                <c:pt idx="0">
                  <c:v>Aggregate+Greedy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'loose channel'!$D$2:$D$46</c:f>
              <c:numCache>
                <c:formatCode>0.0%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4.3785323136270107E-3</c:v>
                </c:pt>
                <c:pt idx="8">
                  <c:v>1.2011067077146373E-2</c:v>
                </c:pt>
                <c:pt idx="9">
                  <c:v>2.6780451704922463E-4</c:v>
                </c:pt>
                <c:pt idx="10">
                  <c:v>1.7880428510153774E-3</c:v>
                </c:pt>
                <c:pt idx="11">
                  <c:v>7.0048528506714289E-3</c:v>
                </c:pt>
                <c:pt idx="12">
                  <c:v>3.3302997199070928E-3</c:v>
                </c:pt>
                <c:pt idx="13">
                  <c:v>9.9865792015252051E-3</c:v>
                </c:pt>
                <c:pt idx="14">
                  <c:v>0</c:v>
                </c:pt>
                <c:pt idx="15">
                  <c:v>9.4619358472460384E-3</c:v>
                </c:pt>
                <c:pt idx="16">
                  <c:v>2.4411588167370997E-2</c:v>
                </c:pt>
                <c:pt idx="17">
                  <c:v>1.7674511538955571E-3</c:v>
                </c:pt>
                <c:pt idx="18">
                  <c:v>5.059977850075296E-3</c:v>
                </c:pt>
                <c:pt idx="19">
                  <c:v>4.3268107575586186E-3</c:v>
                </c:pt>
                <c:pt idx="20">
                  <c:v>9.985173718267501E-3</c:v>
                </c:pt>
                <c:pt idx="21">
                  <c:v>3.6874548820565161E-3</c:v>
                </c:pt>
                <c:pt idx="22">
                  <c:v>3.5530821581509645E-3</c:v>
                </c:pt>
                <c:pt idx="23">
                  <c:v>6.3342206314960332E-3</c:v>
                </c:pt>
                <c:pt idx="24">
                  <c:v>8.2205204649327297E-3</c:v>
                </c:pt>
                <c:pt idx="25">
                  <c:v>8.960751579068435E-3</c:v>
                </c:pt>
                <c:pt idx="26">
                  <c:v>1.3522826958099309E-3</c:v>
                </c:pt>
                <c:pt idx="27">
                  <c:v>9.3578394399626841E-3</c:v>
                </c:pt>
                <c:pt idx="28">
                  <c:v>5.3790640963800804E-3</c:v>
                </c:pt>
                <c:pt idx="29">
                  <c:v>4.7336748311323186E-4</c:v>
                </c:pt>
                <c:pt idx="30">
                  <c:v>4.7849968454489258E-3</c:v>
                </c:pt>
                <c:pt idx="31">
                  <c:v>2.5331932279985019E-2</c:v>
                </c:pt>
                <c:pt idx="32">
                  <c:v>9.8887496850716666E-3</c:v>
                </c:pt>
                <c:pt idx="33">
                  <c:v>2.2883646837367568E-2</c:v>
                </c:pt>
                <c:pt idx="34">
                  <c:v>2.5508681571410415E-3</c:v>
                </c:pt>
                <c:pt idx="35">
                  <c:v>6.8662852322579982E-3</c:v>
                </c:pt>
                <c:pt idx="36">
                  <c:v>8.967929313649807E-3</c:v>
                </c:pt>
                <c:pt idx="37">
                  <c:v>1.3721149575614117E-2</c:v>
                </c:pt>
                <c:pt idx="38">
                  <c:v>1.256883538074598E-2</c:v>
                </c:pt>
                <c:pt idx="39">
                  <c:v>4.8946083424890091E-4</c:v>
                </c:pt>
                <c:pt idx="40">
                  <c:v>4.2090536720447685E-4</c:v>
                </c:pt>
                <c:pt idx="41">
                  <c:v>4.7537186724332651E-4</c:v>
                </c:pt>
                <c:pt idx="42">
                  <c:v>8.5064113140855182E-3</c:v>
                </c:pt>
                <c:pt idx="43">
                  <c:v>4.328326348433372E-3</c:v>
                </c:pt>
                <c:pt idx="44">
                  <c:v>1.9413400109481484E-3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CA-4004-A5FC-30AC8282D6B6}"/>
            </c:ext>
          </c:extLst>
        </c:ser>
        <c:ser>
          <c:idx val="1"/>
          <c:order val="1"/>
          <c:tx>
            <c:strRef>
              <c:f>'loose channel'!$F$1:$H$1</c:f>
              <c:strCache>
                <c:ptCount val="1"/>
                <c:pt idx="0">
                  <c:v>Basic Greedy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'loose channel'!$H$2:$H$46</c:f>
              <c:numCache>
                <c:formatCode>0.0%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2.3645320197044337E-2</c:v>
                </c:pt>
                <c:pt idx="3">
                  <c:v>0</c:v>
                </c:pt>
                <c:pt idx="4">
                  <c:v>7.5280802537940492E-2</c:v>
                </c:pt>
                <c:pt idx="5">
                  <c:v>0.1344413468719414</c:v>
                </c:pt>
                <c:pt idx="6">
                  <c:v>0.28371102539376408</c:v>
                </c:pt>
                <c:pt idx="7">
                  <c:v>5.0967755153409608E-2</c:v>
                </c:pt>
                <c:pt idx="8">
                  <c:v>6.6721378395387207E-2</c:v>
                </c:pt>
                <c:pt idx="9">
                  <c:v>0.13629576139573976</c:v>
                </c:pt>
                <c:pt idx="10">
                  <c:v>0.26088544295402594</c:v>
                </c:pt>
                <c:pt idx="11">
                  <c:v>0.12749376998900289</c:v>
                </c:pt>
                <c:pt idx="12">
                  <c:v>3.4129446790004292E-2</c:v>
                </c:pt>
                <c:pt idx="13">
                  <c:v>0.13798807179500044</c:v>
                </c:pt>
                <c:pt idx="14">
                  <c:v>0.39545371518580635</c:v>
                </c:pt>
                <c:pt idx="15">
                  <c:v>0.45031238280076108</c:v>
                </c:pt>
                <c:pt idx="16">
                  <c:v>0.35891453980684823</c:v>
                </c:pt>
                <c:pt idx="17">
                  <c:v>0.55806191851291542</c:v>
                </c:pt>
                <c:pt idx="18">
                  <c:v>0.54552209714178679</c:v>
                </c:pt>
                <c:pt idx="19">
                  <c:v>0.46317774314552046</c:v>
                </c:pt>
                <c:pt idx="20">
                  <c:v>0.49943300250011619</c:v>
                </c:pt>
                <c:pt idx="21">
                  <c:v>0.41683927093774165</c:v>
                </c:pt>
                <c:pt idx="22">
                  <c:v>0.59937780996965251</c:v>
                </c:pt>
                <c:pt idx="23">
                  <c:v>0.37763637243030451</c:v>
                </c:pt>
                <c:pt idx="24">
                  <c:v>0.4268547995397392</c:v>
                </c:pt>
                <c:pt idx="25">
                  <c:v>0.14962919020410517</c:v>
                </c:pt>
                <c:pt idx="26">
                  <c:v>0.38077316925877625</c:v>
                </c:pt>
                <c:pt idx="27">
                  <c:v>0.37618262941607128</c:v>
                </c:pt>
                <c:pt idx="28">
                  <c:v>0.41300488947677239</c:v>
                </c:pt>
                <c:pt idx="29">
                  <c:v>0.59912658908883287</c:v>
                </c:pt>
                <c:pt idx="30">
                  <c:v>0.45503298411335896</c:v>
                </c:pt>
                <c:pt idx="31">
                  <c:v>0.45503298411335896</c:v>
                </c:pt>
                <c:pt idx="32">
                  <c:v>0.31842285610118293</c:v>
                </c:pt>
                <c:pt idx="33">
                  <c:v>0.31779462390376551</c:v>
                </c:pt>
                <c:pt idx="34">
                  <c:v>0.4874154384330675</c:v>
                </c:pt>
                <c:pt idx="35">
                  <c:v>0.48174743618988275</c:v>
                </c:pt>
                <c:pt idx="36">
                  <c:v>0.50724746048198954</c:v>
                </c:pt>
                <c:pt idx="37">
                  <c:v>0.4756215151162026</c:v>
                </c:pt>
                <c:pt idx="38">
                  <c:v>0.37358481425215562</c:v>
                </c:pt>
                <c:pt idx="39">
                  <c:v>0.19863855332227687</c:v>
                </c:pt>
                <c:pt idx="40">
                  <c:v>0.18389439256345663</c:v>
                </c:pt>
                <c:pt idx="41">
                  <c:v>0.19800555396060873</c:v>
                </c:pt>
                <c:pt idx="42">
                  <c:v>0.20508487336809539</c:v>
                </c:pt>
                <c:pt idx="43">
                  <c:v>0.19981322736740625</c:v>
                </c:pt>
                <c:pt idx="44">
                  <c:v>0.3648528527166876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CA-4004-A5FC-30AC8282D6B6}"/>
            </c:ext>
          </c:extLst>
        </c:ser>
        <c:ser>
          <c:idx val="2"/>
          <c:order val="2"/>
          <c:tx>
            <c:strRef>
              <c:f>'loose channel'!$J$1:$L$1</c:f>
              <c:strCache>
                <c:ptCount val="1"/>
                <c:pt idx="0">
                  <c:v>Relax+Greedy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'loose channel'!$L$2:$L$46</c:f>
              <c:numCache>
                <c:formatCode>0.0%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1.496776827173303E-3</c:v>
                </c:pt>
                <c:pt idx="9">
                  <c:v>5.9777793984201927E-5</c:v>
                </c:pt>
                <c:pt idx="10">
                  <c:v>6.4683053040103498E-4</c:v>
                </c:pt>
                <c:pt idx="11">
                  <c:v>2.0536335845515907E-3</c:v>
                </c:pt>
                <c:pt idx="12">
                  <c:v>0</c:v>
                </c:pt>
                <c:pt idx="13">
                  <c:v>8.0117149773602421E-4</c:v>
                </c:pt>
                <c:pt idx="14">
                  <c:v>0</c:v>
                </c:pt>
                <c:pt idx="15">
                  <c:v>8.9088296910948695E-4</c:v>
                </c:pt>
                <c:pt idx="16">
                  <c:v>0</c:v>
                </c:pt>
                <c:pt idx="17">
                  <c:v>8.1030378859599467E-4</c:v>
                </c:pt>
                <c:pt idx="18">
                  <c:v>0</c:v>
                </c:pt>
                <c:pt idx="19">
                  <c:v>2.8777236656387891E-4</c:v>
                </c:pt>
                <c:pt idx="20">
                  <c:v>1.8881830618141217E-4</c:v>
                </c:pt>
                <c:pt idx="21">
                  <c:v>1.6482418491359121E-4</c:v>
                </c:pt>
                <c:pt idx="22">
                  <c:v>1.6756315975121827E-3</c:v>
                </c:pt>
                <c:pt idx="23">
                  <c:v>2.4157426616526546E-4</c:v>
                </c:pt>
                <c:pt idx="24">
                  <c:v>4.8373234600346287E-4</c:v>
                </c:pt>
                <c:pt idx="25">
                  <c:v>1.7989015377367846E-4</c:v>
                </c:pt>
                <c:pt idx="26">
                  <c:v>1.1145463341142723E-4</c:v>
                </c:pt>
                <c:pt idx="27">
                  <c:v>2.0723540082972234E-3</c:v>
                </c:pt>
                <c:pt idx="28">
                  <c:v>9.5474787014810785E-5</c:v>
                </c:pt>
                <c:pt idx="29">
                  <c:v>3.4357932714411496E-4</c:v>
                </c:pt>
                <c:pt idx="30">
                  <c:v>5.1578663740063813E-5</c:v>
                </c:pt>
                <c:pt idx="31">
                  <c:v>9.3513591036842553E-4</c:v>
                </c:pt>
                <c:pt idx="32">
                  <c:v>1.6122610951509205E-6</c:v>
                </c:pt>
                <c:pt idx="33">
                  <c:v>1.1108549978950655E-3</c:v>
                </c:pt>
                <c:pt idx="34">
                  <c:v>1.913509894688713E-4</c:v>
                </c:pt>
                <c:pt idx="35">
                  <c:v>9.035891195776117E-4</c:v>
                </c:pt>
                <c:pt idx="36">
                  <c:v>1.3065853185484134E-3</c:v>
                </c:pt>
                <c:pt idx="37">
                  <c:v>1.5497302961755017E-4</c:v>
                </c:pt>
                <c:pt idx="38">
                  <c:v>9.9485625952837418E-4</c:v>
                </c:pt>
                <c:pt idx="39">
                  <c:v>4.8325604104713585E-4</c:v>
                </c:pt>
                <c:pt idx="40">
                  <c:v>4.2090536720447685E-4</c:v>
                </c:pt>
                <c:pt idx="41">
                  <c:v>4.7537186724332651E-4</c:v>
                </c:pt>
                <c:pt idx="42">
                  <c:v>8.5064113140855182E-3</c:v>
                </c:pt>
                <c:pt idx="43">
                  <c:v>4.328326348433372E-3</c:v>
                </c:pt>
                <c:pt idx="44">
                  <c:v>1.9413400109481484E-3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CA-4004-A5FC-30AC8282D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2278943"/>
        <c:axId val="1882279359"/>
      </c:lineChart>
      <c:catAx>
        <c:axId val="1882278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882279359"/>
        <c:crosses val="autoZero"/>
        <c:auto val="1"/>
        <c:lblAlgn val="ctr"/>
        <c:lblOffset val="100"/>
        <c:noMultiLvlLbl val="0"/>
      </c:catAx>
      <c:valAx>
        <c:axId val="188227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88227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'loose channel'!$F$1:$H$1</c:f>
              <c:strCache>
                <c:ptCount val="1"/>
                <c:pt idx="0">
                  <c:v>Basic Greedy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val>
            <c:numRef>
              <c:f>'loose channel'!$H$2:$H$46</c:f>
              <c:numCache>
                <c:formatCode>0.0%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2.3645320197044337E-2</c:v>
                </c:pt>
                <c:pt idx="3">
                  <c:v>0</c:v>
                </c:pt>
                <c:pt idx="4">
                  <c:v>7.5280802537940492E-2</c:v>
                </c:pt>
                <c:pt idx="5">
                  <c:v>0.1344413468719414</c:v>
                </c:pt>
                <c:pt idx="6">
                  <c:v>0.28371102539376408</c:v>
                </c:pt>
                <c:pt idx="7">
                  <c:v>5.0967755153409608E-2</c:v>
                </c:pt>
                <c:pt idx="8">
                  <c:v>6.6721378395387207E-2</c:v>
                </c:pt>
                <c:pt idx="9">
                  <c:v>0.13629576139573976</c:v>
                </c:pt>
                <c:pt idx="10">
                  <c:v>0.26088544295402594</c:v>
                </c:pt>
                <c:pt idx="11">
                  <c:v>0.12749376998900289</c:v>
                </c:pt>
                <c:pt idx="12">
                  <c:v>3.4129446790004292E-2</c:v>
                </c:pt>
                <c:pt idx="13">
                  <c:v>0.13798807179500044</c:v>
                </c:pt>
                <c:pt idx="14">
                  <c:v>0.39545371518580635</c:v>
                </c:pt>
                <c:pt idx="15">
                  <c:v>0.45031238280076108</c:v>
                </c:pt>
                <c:pt idx="16">
                  <c:v>0.35891453980684823</c:v>
                </c:pt>
                <c:pt idx="17">
                  <c:v>0.55806191851291542</c:v>
                </c:pt>
                <c:pt idx="18">
                  <c:v>0.54552209714178679</c:v>
                </c:pt>
                <c:pt idx="19">
                  <c:v>0.46317774314552046</c:v>
                </c:pt>
                <c:pt idx="20">
                  <c:v>0.49943300250011619</c:v>
                </c:pt>
                <c:pt idx="21">
                  <c:v>0.41683927093774165</c:v>
                </c:pt>
                <c:pt idx="22">
                  <c:v>0.59937780996965251</c:v>
                </c:pt>
                <c:pt idx="23">
                  <c:v>0.37763637243030451</c:v>
                </c:pt>
                <c:pt idx="24">
                  <c:v>0.4268547995397392</c:v>
                </c:pt>
                <c:pt idx="25">
                  <c:v>0.14962919020410517</c:v>
                </c:pt>
                <c:pt idx="26">
                  <c:v>0.38077316925877625</c:v>
                </c:pt>
                <c:pt idx="27">
                  <c:v>0.37618262941607128</c:v>
                </c:pt>
                <c:pt idx="28">
                  <c:v>0.41300488947677239</c:v>
                </c:pt>
                <c:pt idx="29">
                  <c:v>0.59912658908883287</c:v>
                </c:pt>
                <c:pt idx="30">
                  <c:v>0.45503298411335896</c:v>
                </c:pt>
                <c:pt idx="31">
                  <c:v>0.45503298411335896</c:v>
                </c:pt>
                <c:pt idx="32">
                  <c:v>0.31842285610118293</c:v>
                </c:pt>
                <c:pt idx="33">
                  <c:v>0.31779462390376551</c:v>
                </c:pt>
                <c:pt idx="34">
                  <c:v>0.4874154384330675</c:v>
                </c:pt>
                <c:pt idx="35">
                  <c:v>0.48174743618988275</c:v>
                </c:pt>
                <c:pt idx="36">
                  <c:v>0.50724746048198954</c:v>
                </c:pt>
                <c:pt idx="37">
                  <c:v>0.4756215151162026</c:v>
                </c:pt>
                <c:pt idx="38">
                  <c:v>0.37358481425215562</c:v>
                </c:pt>
                <c:pt idx="39">
                  <c:v>0.19863855332227687</c:v>
                </c:pt>
                <c:pt idx="40">
                  <c:v>0.18389439256345663</c:v>
                </c:pt>
                <c:pt idx="41">
                  <c:v>0.19800555396060873</c:v>
                </c:pt>
                <c:pt idx="42">
                  <c:v>0.20508487336809539</c:v>
                </c:pt>
                <c:pt idx="43">
                  <c:v>0.19981322736740625</c:v>
                </c:pt>
                <c:pt idx="44">
                  <c:v>0.3648528527166876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BC-DC4A-A3AD-11FED8E99400}"/>
            </c:ext>
          </c:extLst>
        </c:ser>
        <c:ser>
          <c:idx val="0"/>
          <c:order val="1"/>
          <c:tx>
            <c:strRef>
              <c:f>'loose channel'!$B$1:$D$1</c:f>
              <c:strCache>
                <c:ptCount val="1"/>
                <c:pt idx="0">
                  <c:v>Aggregate+Greedy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val>
            <c:numRef>
              <c:f>'loose channel'!$D$2:$D$46</c:f>
              <c:numCache>
                <c:formatCode>0.0%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4.3785323136270107E-3</c:v>
                </c:pt>
                <c:pt idx="8">
                  <c:v>1.2011067077146373E-2</c:v>
                </c:pt>
                <c:pt idx="9">
                  <c:v>2.6780451704922463E-4</c:v>
                </c:pt>
                <c:pt idx="10">
                  <c:v>1.7880428510153774E-3</c:v>
                </c:pt>
                <c:pt idx="11">
                  <c:v>7.0048528506714289E-3</c:v>
                </c:pt>
                <c:pt idx="12">
                  <c:v>3.3302997199070928E-3</c:v>
                </c:pt>
                <c:pt idx="13">
                  <c:v>9.9865792015252051E-3</c:v>
                </c:pt>
                <c:pt idx="14">
                  <c:v>0</c:v>
                </c:pt>
                <c:pt idx="15">
                  <c:v>9.4619358472460384E-3</c:v>
                </c:pt>
                <c:pt idx="16">
                  <c:v>2.4411588167370997E-2</c:v>
                </c:pt>
                <c:pt idx="17">
                  <c:v>1.7674511538955571E-3</c:v>
                </c:pt>
                <c:pt idx="18">
                  <c:v>5.059977850075296E-3</c:v>
                </c:pt>
                <c:pt idx="19">
                  <c:v>4.3268107575586186E-3</c:v>
                </c:pt>
                <c:pt idx="20">
                  <c:v>9.985173718267501E-3</c:v>
                </c:pt>
                <c:pt idx="21">
                  <c:v>3.6874548820565161E-3</c:v>
                </c:pt>
                <c:pt idx="22">
                  <c:v>3.5530821581509645E-3</c:v>
                </c:pt>
                <c:pt idx="23">
                  <c:v>6.3342206314960332E-3</c:v>
                </c:pt>
                <c:pt idx="24">
                  <c:v>8.2205204649327297E-3</c:v>
                </c:pt>
                <c:pt idx="25">
                  <c:v>8.960751579068435E-3</c:v>
                </c:pt>
                <c:pt idx="26">
                  <c:v>1.3522826958099309E-3</c:v>
                </c:pt>
                <c:pt idx="27">
                  <c:v>9.3578394399626841E-3</c:v>
                </c:pt>
                <c:pt idx="28">
                  <c:v>5.3790640963800804E-3</c:v>
                </c:pt>
                <c:pt idx="29">
                  <c:v>4.7336748311323186E-4</c:v>
                </c:pt>
                <c:pt idx="30">
                  <c:v>4.7849968454489258E-3</c:v>
                </c:pt>
                <c:pt idx="31">
                  <c:v>2.5331932279985019E-2</c:v>
                </c:pt>
                <c:pt idx="32">
                  <c:v>9.8887496850716666E-3</c:v>
                </c:pt>
                <c:pt idx="33">
                  <c:v>2.2883646837367568E-2</c:v>
                </c:pt>
                <c:pt idx="34">
                  <c:v>2.5508681571410415E-3</c:v>
                </c:pt>
                <c:pt idx="35">
                  <c:v>6.8662852322579982E-3</c:v>
                </c:pt>
                <c:pt idx="36">
                  <c:v>8.967929313649807E-3</c:v>
                </c:pt>
                <c:pt idx="37">
                  <c:v>1.3721149575614117E-2</c:v>
                </c:pt>
                <c:pt idx="38">
                  <c:v>1.256883538074598E-2</c:v>
                </c:pt>
                <c:pt idx="39">
                  <c:v>4.8946083424890091E-4</c:v>
                </c:pt>
                <c:pt idx="40">
                  <c:v>4.2090536720447685E-4</c:v>
                </c:pt>
                <c:pt idx="41">
                  <c:v>4.7537186724332651E-4</c:v>
                </c:pt>
                <c:pt idx="42">
                  <c:v>8.5064113140855182E-3</c:v>
                </c:pt>
                <c:pt idx="43">
                  <c:v>4.328326348433372E-3</c:v>
                </c:pt>
                <c:pt idx="44">
                  <c:v>1.9413400109481484E-3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BC-DC4A-A3AD-11FED8E99400}"/>
            </c:ext>
          </c:extLst>
        </c:ser>
        <c:ser>
          <c:idx val="2"/>
          <c:order val="2"/>
          <c:tx>
            <c:strRef>
              <c:f>'loose channel'!$J$1:$L$1</c:f>
              <c:strCache>
                <c:ptCount val="1"/>
                <c:pt idx="0">
                  <c:v>Relax+Greedy</c:v>
                </c:pt>
              </c:strCache>
            </c:strRef>
          </c:tx>
          <c:spPr>
            <a:solidFill>
              <a:srgbClr val="FFC102"/>
            </a:solidFill>
            <a:ln>
              <a:noFill/>
            </a:ln>
            <a:effectLst/>
          </c:spPr>
          <c:invertIfNegative val="0"/>
          <c:val>
            <c:numRef>
              <c:f>'loose channel'!$L$2:$L$46</c:f>
              <c:numCache>
                <c:formatCode>0.0%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1.496776827173303E-3</c:v>
                </c:pt>
                <c:pt idx="9">
                  <c:v>5.9777793984201927E-5</c:v>
                </c:pt>
                <c:pt idx="10">
                  <c:v>6.4683053040103498E-4</c:v>
                </c:pt>
                <c:pt idx="11">
                  <c:v>2.0536335845515907E-3</c:v>
                </c:pt>
                <c:pt idx="12">
                  <c:v>0</c:v>
                </c:pt>
                <c:pt idx="13">
                  <c:v>8.0117149773602421E-4</c:v>
                </c:pt>
                <c:pt idx="14">
                  <c:v>0</c:v>
                </c:pt>
                <c:pt idx="15">
                  <c:v>8.9088296910948695E-4</c:v>
                </c:pt>
                <c:pt idx="16">
                  <c:v>0</c:v>
                </c:pt>
                <c:pt idx="17">
                  <c:v>8.1030378859599467E-4</c:v>
                </c:pt>
                <c:pt idx="18">
                  <c:v>0</c:v>
                </c:pt>
                <c:pt idx="19">
                  <c:v>2.8777236656387891E-4</c:v>
                </c:pt>
                <c:pt idx="20">
                  <c:v>1.8881830618141217E-4</c:v>
                </c:pt>
                <c:pt idx="21">
                  <c:v>1.6482418491359121E-4</c:v>
                </c:pt>
                <c:pt idx="22">
                  <c:v>1.6756315975121827E-3</c:v>
                </c:pt>
                <c:pt idx="23">
                  <c:v>2.4157426616526546E-4</c:v>
                </c:pt>
                <c:pt idx="24">
                  <c:v>4.8373234600346287E-4</c:v>
                </c:pt>
                <c:pt idx="25">
                  <c:v>1.7989015377367846E-4</c:v>
                </c:pt>
                <c:pt idx="26">
                  <c:v>1.1145463341142723E-4</c:v>
                </c:pt>
                <c:pt idx="27">
                  <c:v>2.0723540082972234E-3</c:v>
                </c:pt>
                <c:pt idx="28">
                  <c:v>9.5474787014810785E-5</c:v>
                </c:pt>
                <c:pt idx="29">
                  <c:v>3.4357932714411496E-4</c:v>
                </c:pt>
                <c:pt idx="30">
                  <c:v>5.1578663740063813E-5</c:v>
                </c:pt>
                <c:pt idx="31">
                  <c:v>9.3513591036842553E-4</c:v>
                </c:pt>
                <c:pt idx="32">
                  <c:v>1.6122610951509205E-6</c:v>
                </c:pt>
                <c:pt idx="33">
                  <c:v>1.1108549978950655E-3</c:v>
                </c:pt>
                <c:pt idx="34">
                  <c:v>1.913509894688713E-4</c:v>
                </c:pt>
                <c:pt idx="35">
                  <c:v>9.035891195776117E-4</c:v>
                </c:pt>
                <c:pt idx="36">
                  <c:v>1.3065853185484134E-3</c:v>
                </c:pt>
                <c:pt idx="37">
                  <c:v>1.5497302961755017E-4</c:v>
                </c:pt>
                <c:pt idx="38">
                  <c:v>9.9485625952837418E-4</c:v>
                </c:pt>
                <c:pt idx="39">
                  <c:v>4.8325604104713585E-4</c:v>
                </c:pt>
                <c:pt idx="40">
                  <c:v>4.2090536720447685E-4</c:v>
                </c:pt>
                <c:pt idx="41">
                  <c:v>4.7537186724332651E-4</c:v>
                </c:pt>
                <c:pt idx="42">
                  <c:v>8.5064113140855182E-3</c:v>
                </c:pt>
                <c:pt idx="43">
                  <c:v>4.328326348433372E-3</c:v>
                </c:pt>
                <c:pt idx="44">
                  <c:v>1.9413400109481484E-3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BC-DC4A-A3AD-11FED8E99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2278943"/>
        <c:axId val="1882279359"/>
      </c:barChart>
      <c:catAx>
        <c:axId val="1882278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882279359"/>
        <c:crosses val="autoZero"/>
        <c:auto val="1"/>
        <c:lblAlgn val="ctr"/>
        <c:lblOffset val="100"/>
        <c:noMultiLvlLbl val="0"/>
      </c:catAx>
      <c:valAx>
        <c:axId val="188227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88227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Durations in seconds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Durations!$C$3</c:f>
              <c:strCache>
                <c:ptCount val="1"/>
                <c:pt idx="0">
                  <c:v>BIP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Durations!$C$4:$C$48</c:f>
              <c:numCache>
                <c:formatCode>0.00</c:formatCode>
                <c:ptCount val="45"/>
                <c:pt idx="0">
                  <c:v>7.0000000000000007E-2</c:v>
                </c:pt>
                <c:pt idx="1">
                  <c:v>1.08</c:v>
                </c:pt>
                <c:pt idx="2">
                  <c:v>2.34</c:v>
                </c:pt>
                <c:pt idx="3">
                  <c:v>4.01</c:v>
                </c:pt>
                <c:pt idx="4">
                  <c:v>10.42</c:v>
                </c:pt>
                <c:pt idx="5">
                  <c:v>18.23</c:v>
                </c:pt>
                <c:pt idx="6">
                  <c:v>23.13</c:v>
                </c:pt>
                <c:pt idx="7">
                  <c:v>44.67</c:v>
                </c:pt>
                <c:pt idx="8">
                  <c:v>94.8</c:v>
                </c:pt>
                <c:pt idx="9">
                  <c:v>128.69999999999999</c:v>
                </c:pt>
                <c:pt idx="10">
                  <c:v>223.15</c:v>
                </c:pt>
                <c:pt idx="11">
                  <c:v>244.34</c:v>
                </c:pt>
                <c:pt idx="12">
                  <c:v>465.31</c:v>
                </c:pt>
                <c:pt idx="13">
                  <c:v>1721.69</c:v>
                </c:pt>
                <c:pt idx="14">
                  <c:v>2033.87</c:v>
                </c:pt>
                <c:pt idx="15">
                  <c:v>3348.65</c:v>
                </c:pt>
                <c:pt idx="16">
                  <c:v>4728.46</c:v>
                </c:pt>
                <c:pt idx="17">
                  <c:v>7368.02</c:v>
                </c:pt>
                <c:pt idx="18">
                  <c:v>8126.41</c:v>
                </c:pt>
                <c:pt idx="19">
                  <c:v>11567.48</c:v>
                </c:pt>
                <c:pt idx="20">
                  <c:v>14750.15</c:v>
                </c:pt>
                <c:pt idx="21">
                  <c:v>16961.64</c:v>
                </c:pt>
                <c:pt idx="22">
                  <c:v>20276.98</c:v>
                </c:pt>
                <c:pt idx="23">
                  <c:v>20687.150000000001</c:v>
                </c:pt>
                <c:pt idx="24">
                  <c:v>23317.34</c:v>
                </c:pt>
                <c:pt idx="25">
                  <c:v>27289.34</c:v>
                </c:pt>
                <c:pt idx="26">
                  <c:v>29017.82</c:v>
                </c:pt>
                <c:pt idx="27">
                  <c:v>38582.65</c:v>
                </c:pt>
                <c:pt idx="28">
                  <c:v>43735.08</c:v>
                </c:pt>
                <c:pt idx="29">
                  <c:v>48914.34</c:v>
                </c:pt>
                <c:pt idx="30">
                  <c:v>49561.84</c:v>
                </c:pt>
                <c:pt idx="31">
                  <c:v>51034.43</c:v>
                </c:pt>
                <c:pt idx="32">
                  <c:v>57914.87</c:v>
                </c:pt>
                <c:pt idx="33">
                  <c:v>68891.39</c:v>
                </c:pt>
                <c:pt idx="34">
                  <c:v>76391.45</c:v>
                </c:pt>
                <c:pt idx="35">
                  <c:v>84451.18</c:v>
                </c:pt>
                <c:pt idx="36">
                  <c:v>91784.36</c:v>
                </c:pt>
                <c:pt idx="37">
                  <c:v>99314.42</c:v>
                </c:pt>
                <c:pt idx="38">
                  <c:v>104934.71</c:v>
                </c:pt>
                <c:pt idx="39">
                  <c:v>110981.58</c:v>
                </c:pt>
                <c:pt idx="40">
                  <c:v>118392.34</c:v>
                </c:pt>
                <c:pt idx="41">
                  <c:v>120934</c:v>
                </c:pt>
                <c:pt idx="42">
                  <c:v>121304.76</c:v>
                </c:pt>
                <c:pt idx="43">
                  <c:v>130217.09</c:v>
                </c:pt>
                <c:pt idx="44">
                  <c:v>133405.38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9A-44D3-835D-D23EC5B14DD1}"/>
            </c:ext>
          </c:extLst>
        </c:ser>
        <c:ser>
          <c:idx val="1"/>
          <c:order val="1"/>
          <c:tx>
            <c:strRef>
              <c:f>Durations!$D$3</c:f>
              <c:strCache>
                <c:ptCount val="1"/>
                <c:pt idx="0">
                  <c:v>Basic Greedy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Durations!$D$4:$D$48</c:f>
              <c:numCache>
                <c:formatCode>0.00</c:formatCode>
                <c:ptCount val="45"/>
                <c:pt idx="0">
                  <c:v>0.02</c:v>
                </c:pt>
                <c:pt idx="1">
                  <c:v>0.01</c:v>
                </c:pt>
                <c:pt idx="2">
                  <c:v>0.1</c:v>
                </c:pt>
                <c:pt idx="3">
                  <c:v>0.09</c:v>
                </c:pt>
                <c:pt idx="4">
                  <c:v>0.36</c:v>
                </c:pt>
                <c:pt idx="5">
                  <c:v>0.59</c:v>
                </c:pt>
                <c:pt idx="6">
                  <c:v>1</c:v>
                </c:pt>
                <c:pt idx="7">
                  <c:v>1.91</c:v>
                </c:pt>
                <c:pt idx="8">
                  <c:v>4.8</c:v>
                </c:pt>
                <c:pt idx="9">
                  <c:v>5.27</c:v>
                </c:pt>
                <c:pt idx="10">
                  <c:v>14.34</c:v>
                </c:pt>
                <c:pt idx="11">
                  <c:v>17.21</c:v>
                </c:pt>
                <c:pt idx="12">
                  <c:v>60.12</c:v>
                </c:pt>
                <c:pt idx="13">
                  <c:v>176.74</c:v>
                </c:pt>
                <c:pt idx="14">
                  <c:v>233.67</c:v>
                </c:pt>
                <c:pt idx="15">
                  <c:v>370.3</c:v>
                </c:pt>
                <c:pt idx="16">
                  <c:v>563.04</c:v>
                </c:pt>
                <c:pt idx="17">
                  <c:v>931.80206718750003</c:v>
                </c:pt>
                <c:pt idx="18">
                  <c:v>1062.0897210937501</c:v>
                </c:pt>
                <c:pt idx="19">
                  <c:v>1341.1562531250001</c:v>
                </c:pt>
                <c:pt idx="20">
                  <c:v>1617.73972265625</c:v>
                </c:pt>
                <c:pt idx="21">
                  <c:v>2007.9907593750002</c:v>
                </c:pt>
                <c:pt idx="22">
                  <c:v>2408.8491046875001</c:v>
                </c:pt>
                <c:pt idx="23">
                  <c:v>2781.7905820312503</c:v>
                </c:pt>
                <c:pt idx="24">
                  <c:v>3053.0650640625004</c:v>
                </c:pt>
                <c:pt idx="25">
                  <c:v>3337.2335015625004</c:v>
                </c:pt>
                <c:pt idx="26">
                  <c:v>3722.8431140624998</c:v>
                </c:pt>
                <c:pt idx="27">
                  <c:v>4306.7551523437505</c:v>
                </c:pt>
                <c:pt idx="28">
                  <c:v>4848.2667843750005</c:v>
                </c:pt>
                <c:pt idx="29">
                  <c:v>5267.0362359374994</c:v>
                </c:pt>
                <c:pt idx="30">
                  <c:v>6257.2583062499998</c:v>
                </c:pt>
                <c:pt idx="31">
                  <c:v>7009.4089757812508</c:v>
                </c:pt>
                <c:pt idx="32">
                  <c:v>7813.5257039062499</c:v>
                </c:pt>
                <c:pt idx="33">
                  <c:v>8411.0032007812497</c:v>
                </c:pt>
                <c:pt idx="34">
                  <c:v>9221.0740898437489</c:v>
                </c:pt>
                <c:pt idx="35">
                  <c:v>11020.523057812499</c:v>
                </c:pt>
                <c:pt idx="36">
                  <c:v>11828.990334375001</c:v>
                </c:pt>
                <c:pt idx="37">
                  <c:v>12270.3495046875</c:v>
                </c:pt>
                <c:pt idx="38">
                  <c:v>13185.356978906249</c:v>
                </c:pt>
                <c:pt idx="39">
                  <c:v>13489.463620312501</c:v>
                </c:pt>
                <c:pt idx="40">
                  <c:v>13929.676392187501</c:v>
                </c:pt>
                <c:pt idx="41">
                  <c:v>14446.100156250001</c:v>
                </c:pt>
                <c:pt idx="42">
                  <c:v>15187.662928125001</c:v>
                </c:pt>
                <c:pt idx="43">
                  <c:v>16257.30484921875</c:v>
                </c:pt>
                <c:pt idx="44">
                  <c:v>17148.942323437499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9A-44D3-835D-D23EC5B14DD1}"/>
            </c:ext>
          </c:extLst>
        </c:ser>
        <c:ser>
          <c:idx val="2"/>
          <c:order val="2"/>
          <c:tx>
            <c:strRef>
              <c:f>Durations!$E$3</c:f>
              <c:strCache>
                <c:ptCount val="1"/>
                <c:pt idx="0">
                  <c:v>Aggregate+Greedy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Durations!$E$4:$E$48</c:f>
              <c:numCache>
                <c:formatCode>0.00</c:formatCode>
                <c:ptCount val="45"/>
                <c:pt idx="0">
                  <c:v>0.01</c:v>
                </c:pt>
                <c:pt idx="1">
                  <c:v>0.01</c:v>
                </c:pt>
                <c:pt idx="2">
                  <c:v>0.09</c:v>
                </c:pt>
                <c:pt idx="3">
                  <c:v>0.1</c:v>
                </c:pt>
                <c:pt idx="4">
                  <c:v>0.37</c:v>
                </c:pt>
                <c:pt idx="5">
                  <c:v>0.75</c:v>
                </c:pt>
                <c:pt idx="6">
                  <c:v>2.0099999999999998</c:v>
                </c:pt>
                <c:pt idx="7">
                  <c:v>2.59</c:v>
                </c:pt>
                <c:pt idx="8">
                  <c:v>6.06</c:v>
                </c:pt>
                <c:pt idx="9">
                  <c:v>7.25</c:v>
                </c:pt>
                <c:pt idx="10">
                  <c:v>11.68</c:v>
                </c:pt>
                <c:pt idx="11">
                  <c:v>17.29</c:v>
                </c:pt>
                <c:pt idx="12">
                  <c:v>58</c:v>
                </c:pt>
                <c:pt idx="13">
                  <c:v>134.6</c:v>
                </c:pt>
                <c:pt idx="14">
                  <c:v>184.38</c:v>
                </c:pt>
                <c:pt idx="15">
                  <c:v>384.43</c:v>
                </c:pt>
                <c:pt idx="16">
                  <c:v>584.21</c:v>
                </c:pt>
                <c:pt idx="17">
                  <c:v>794.05638114880014</c:v>
                </c:pt>
                <c:pt idx="18">
                  <c:v>891.66883984500021</c:v>
                </c:pt>
                <c:pt idx="19">
                  <c:v>1014.0218313225001</c:v>
                </c:pt>
                <c:pt idx="20">
                  <c:v>1291.6182600300003</c:v>
                </c:pt>
                <c:pt idx="21">
                  <c:v>1564.7980513375001</c:v>
                </c:pt>
                <c:pt idx="22">
                  <c:v>1930.7685912900004</c:v>
                </c:pt>
                <c:pt idx="23">
                  <c:v>2315.6064114050005</c:v>
                </c:pt>
                <c:pt idx="24">
                  <c:v>2650.788339587501</c:v>
                </c:pt>
                <c:pt idx="25">
                  <c:v>2914.5250046150009</c:v>
                </c:pt>
                <c:pt idx="26">
                  <c:v>3201.1962216150005</c:v>
                </c:pt>
                <c:pt idx="27">
                  <c:v>3558.9110338950004</c:v>
                </c:pt>
                <c:pt idx="28">
                  <c:v>4159.957099462501</c:v>
                </c:pt>
                <c:pt idx="29">
                  <c:v>4685.5853211300009</c:v>
                </c:pt>
                <c:pt idx="30">
                  <c:v>5102.281727865</c:v>
                </c:pt>
                <c:pt idx="31">
                  <c:v>5988.4721597400003</c:v>
                </c:pt>
                <c:pt idx="32">
                  <c:v>6669.9844361675023</c:v>
                </c:pt>
                <c:pt idx="33">
                  <c:v>7443.9290367575004</c:v>
                </c:pt>
                <c:pt idx="34">
                  <c:v>8069.1040607275008</c:v>
                </c:pt>
                <c:pt idx="35">
                  <c:v>8853.6393612624997</c:v>
                </c:pt>
                <c:pt idx="36">
                  <c:v>10522.863881354999</c:v>
                </c:pt>
                <c:pt idx="37">
                  <c:v>11304.546827210002</c:v>
                </c:pt>
                <c:pt idx="38">
                  <c:v>11761.423695244999</c:v>
                </c:pt>
                <c:pt idx="39">
                  <c:v>12623.219896997502</c:v>
                </c:pt>
                <c:pt idx="40">
                  <c:v>12945.355310755001</c:v>
                </c:pt>
                <c:pt idx="41">
                  <c:v>13400.193073365004</c:v>
                </c:pt>
                <c:pt idx="42">
                  <c:v>13881.197361500002</c:v>
                </c:pt>
                <c:pt idx="43">
                  <c:v>14543.876884110001</c:v>
                </c:pt>
                <c:pt idx="44">
                  <c:v>15571.331856552504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9A-44D3-835D-D23EC5B14DD1}"/>
            </c:ext>
          </c:extLst>
        </c:ser>
        <c:ser>
          <c:idx val="3"/>
          <c:order val="3"/>
          <c:tx>
            <c:strRef>
              <c:f>Durations!$F$3</c:f>
              <c:strCache>
                <c:ptCount val="1"/>
                <c:pt idx="0">
                  <c:v>Relax+Greedy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Durations!$F$4:$F$48</c:f>
              <c:numCache>
                <c:formatCode>0.00</c:formatCode>
                <c:ptCount val="45"/>
                <c:pt idx="0">
                  <c:v>0.09</c:v>
                </c:pt>
                <c:pt idx="1">
                  <c:v>0.96</c:v>
                </c:pt>
                <c:pt idx="2">
                  <c:v>2.14</c:v>
                </c:pt>
                <c:pt idx="3">
                  <c:v>3.67</c:v>
                </c:pt>
                <c:pt idx="4">
                  <c:v>11.05</c:v>
                </c:pt>
                <c:pt idx="5">
                  <c:v>15.72</c:v>
                </c:pt>
                <c:pt idx="6">
                  <c:v>21.58</c:v>
                </c:pt>
                <c:pt idx="7">
                  <c:v>38.44</c:v>
                </c:pt>
                <c:pt idx="8">
                  <c:v>105.75</c:v>
                </c:pt>
                <c:pt idx="9">
                  <c:v>145.21</c:v>
                </c:pt>
                <c:pt idx="10">
                  <c:v>205.07</c:v>
                </c:pt>
                <c:pt idx="11">
                  <c:v>246.77</c:v>
                </c:pt>
                <c:pt idx="12">
                  <c:v>450.08</c:v>
                </c:pt>
                <c:pt idx="13">
                  <c:v>727.76</c:v>
                </c:pt>
                <c:pt idx="14">
                  <c:v>1143.1600000000001</c:v>
                </c:pt>
                <c:pt idx="15">
                  <c:v>1389</c:v>
                </c:pt>
                <c:pt idx="16">
                  <c:v>1601.06</c:v>
                </c:pt>
                <c:pt idx="17">
                  <c:v>1842.0050000000001</c:v>
                </c:pt>
                <c:pt idx="18">
                  <c:v>2024.9307307152869</c:v>
                </c:pt>
                <c:pt idx="19">
                  <c:v>2885.6571383419987</c:v>
                </c:pt>
                <c:pt idx="20">
                  <c:v>3669.1710191069569</c:v>
                </c:pt>
                <c:pt idx="21">
                  <c:v>4231.3501556824995</c:v>
                </c:pt>
                <c:pt idx="22">
                  <c:v>5047.2647816942781</c:v>
                </c:pt>
                <c:pt idx="23">
                  <c:v>5146.4722056781966</c:v>
                </c:pt>
                <c:pt idx="24">
                  <c:v>5819.3675905747941</c:v>
                </c:pt>
                <c:pt idx="25">
                  <c:v>6793.2155924263607</c:v>
                </c:pt>
                <c:pt idx="26">
                  <c:v>7253.825624767549</c:v>
                </c:pt>
                <c:pt idx="27">
                  <c:v>9607.4606073456634</c:v>
                </c:pt>
                <c:pt idx="28">
                  <c:v>10921.383821712852</c:v>
                </c:pt>
                <c:pt idx="29">
                  <c:v>12174.277337814503</c:v>
                </c:pt>
                <c:pt idx="30">
                  <c:v>12356.523658779492</c:v>
                </c:pt>
                <c:pt idx="31">
                  <c:v>12727.011307630502</c:v>
                </c:pt>
                <c:pt idx="32">
                  <c:v>14468.146111697635</c:v>
                </c:pt>
                <c:pt idx="33">
                  <c:v>17178.907840725165</c:v>
                </c:pt>
                <c:pt idx="34">
                  <c:v>19035.976528605661</c:v>
                </c:pt>
                <c:pt idx="35">
                  <c:v>21093.500583406789</c:v>
                </c:pt>
                <c:pt idx="36">
                  <c:v>22945.505137387197</c:v>
                </c:pt>
                <c:pt idx="37">
                  <c:v>24791.358062967796</c:v>
                </c:pt>
                <c:pt idx="38">
                  <c:v>26109.414229394075</c:v>
                </c:pt>
                <c:pt idx="39">
                  <c:v>27672.613090797113</c:v>
                </c:pt>
                <c:pt idx="40">
                  <c:v>29455.238718951652</c:v>
                </c:pt>
                <c:pt idx="41">
                  <c:v>30130.370757749344</c:v>
                </c:pt>
                <c:pt idx="42">
                  <c:v>30234.654924867787</c:v>
                </c:pt>
                <c:pt idx="43">
                  <c:v>32471.31236248972</c:v>
                </c:pt>
                <c:pt idx="44">
                  <c:v>33238.827580969257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9A-44D3-835D-D23EC5B14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857791"/>
        <c:axId val="890864031"/>
      </c:lineChart>
      <c:catAx>
        <c:axId val="890857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890864031"/>
        <c:crosses val="autoZero"/>
        <c:auto val="1"/>
        <c:lblAlgn val="ctr"/>
        <c:lblOffset val="100"/>
        <c:noMultiLvlLbl val="0"/>
      </c:catAx>
      <c:valAx>
        <c:axId val="89086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89085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Durations in seconds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Durations!$J$3</c:f>
              <c:strCache>
                <c:ptCount val="1"/>
                <c:pt idx="0">
                  <c:v>BIP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Durations!$I$4:$I$20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Durations!$J$4:$J$20</c:f>
              <c:numCache>
                <c:formatCode>0.00</c:formatCode>
                <c:ptCount val="17"/>
                <c:pt idx="0">
                  <c:v>0.1</c:v>
                </c:pt>
                <c:pt idx="1">
                  <c:v>1.55</c:v>
                </c:pt>
                <c:pt idx="2">
                  <c:v>3.51</c:v>
                </c:pt>
                <c:pt idx="3">
                  <c:v>6.32</c:v>
                </c:pt>
                <c:pt idx="4">
                  <c:v>12.26</c:v>
                </c:pt>
                <c:pt idx="5">
                  <c:v>22.96</c:v>
                </c:pt>
                <c:pt idx="6">
                  <c:v>23.9</c:v>
                </c:pt>
                <c:pt idx="7">
                  <c:v>63.76</c:v>
                </c:pt>
                <c:pt idx="8">
                  <c:v>95.75</c:v>
                </c:pt>
                <c:pt idx="9">
                  <c:v>123.14</c:v>
                </c:pt>
                <c:pt idx="10">
                  <c:v>216.93</c:v>
                </c:pt>
                <c:pt idx="11">
                  <c:v>326.14999999999998</c:v>
                </c:pt>
                <c:pt idx="12">
                  <c:v>547.82000000000005</c:v>
                </c:pt>
                <c:pt idx="13">
                  <c:v>2062.34</c:v>
                </c:pt>
                <c:pt idx="14">
                  <c:v>2337.4299999999998</c:v>
                </c:pt>
                <c:pt idx="15">
                  <c:v>3581.33</c:v>
                </c:pt>
                <c:pt idx="16">
                  <c:v>4757.93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2B-47F2-B774-00BC9A0316BD}"/>
            </c:ext>
          </c:extLst>
        </c:ser>
        <c:ser>
          <c:idx val="1"/>
          <c:order val="1"/>
          <c:tx>
            <c:strRef>
              <c:f>Durations!$K$3</c:f>
              <c:strCache>
                <c:ptCount val="1"/>
                <c:pt idx="0">
                  <c:v>Basic Greedy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Durations!$I$4:$I$20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Durations!$K$4:$K$20</c:f>
              <c:numCache>
                <c:formatCode>0.00</c:formatCode>
                <c:ptCount val="17"/>
                <c:pt idx="0">
                  <c:v>0.02</c:v>
                </c:pt>
                <c:pt idx="1">
                  <c:v>0.01</c:v>
                </c:pt>
                <c:pt idx="2">
                  <c:v>0.15</c:v>
                </c:pt>
                <c:pt idx="3">
                  <c:v>7.0000000000000007E-2</c:v>
                </c:pt>
                <c:pt idx="4">
                  <c:v>0.45</c:v>
                </c:pt>
                <c:pt idx="5">
                  <c:v>0.62</c:v>
                </c:pt>
                <c:pt idx="6">
                  <c:v>1.55</c:v>
                </c:pt>
                <c:pt idx="7">
                  <c:v>2.78</c:v>
                </c:pt>
                <c:pt idx="8">
                  <c:v>7.73</c:v>
                </c:pt>
                <c:pt idx="9">
                  <c:v>6.01</c:v>
                </c:pt>
                <c:pt idx="10">
                  <c:v>23.09</c:v>
                </c:pt>
                <c:pt idx="11">
                  <c:v>23.32</c:v>
                </c:pt>
                <c:pt idx="12">
                  <c:v>72.66</c:v>
                </c:pt>
                <c:pt idx="13">
                  <c:v>163.68</c:v>
                </c:pt>
                <c:pt idx="14">
                  <c:v>248.13</c:v>
                </c:pt>
                <c:pt idx="15">
                  <c:v>390.01</c:v>
                </c:pt>
                <c:pt idx="16">
                  <c:v>514.65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2B-47F2-B774-00BC9A0316BD}"/>
            </c:ext>
          </c:extLst>
        </c:ser>
        <c:ser>
          <c:idx val="2"/>
          <c:order val="2"/>
          <c:tx>
            <c:strRef>
              <c:f>Durations!$L$3</c:f>
              <c:strCache>
                <c:ptCount val="1"/>
                <c:pt idx="0">
                  <c:v>Aggregate+Greedy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Durations!$I$4:$I$20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Durations!$L$4:$L$20</c:f>
              <c:numCache>
                <c:formatCode>0.00</c:formatCode>
                <c:ptCount val="17"/>
                <c:pt idx="0">
                  <c:v>0.01</c:v>
                </c:pt>
                <c:pt idx="1">
                  <c:v>0.01</c:v>
                </c:pt>
                <c:pt idx="2">
                  <c:v>0.09</c:v>
                </c:pt>
                <c:pt idx="3">
                  <c:v>0.16</c:v>
                </c:pt>
                <c:pt idx="4">
                  <c:v>0.61</c:v>
                </c:pt>
                <c:pt idx="5">
                  <c:v>0.79</c:v>
                </c:pt>
                <c:pt idx="6">
                  <c:v>3.01</c:v>
                </c:pt>
                <c:pt idx="7">
                  <c:v>2.69</c:v>
                </c:pt>
                <c:pt idx="8">
                  <c:v>6.86</c:v>
                </c:pt>
                <c:pt idx="9">
                  <c:v>6.9</c:v>
                </c:pt>
                <c:pt idx="10">
                  <c:v>16.899999999999999</c:v>
                </c:pt>
                <c:pt idx="11">
                  <c:v>14.66</c:v>
                </c:pt>
                <c:pt idx="12">
                  <c:v>81.88</c:v>
                </c:pt>
                <c:pt idx="13">
                  <c:v>193.59</c:v>
                </c:pt>
                <c:pt idx="14">
                  <c:v>190.68</c:v>
                </c:pt>
                <c:pt idx="15">
                  <c:v>393.57</c:v>
                </c:pt>
                <c:pt idx="16">
                  <c:v>597.01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2B-47F2-B774-00BC9A0316BD}"/>
            </c:ext>
          </c:extLst>
        </c:ser>
        <c:ser>
          <c:idx val="3"/>
          <c:order val="3"/>
          <c:tx>
            <c:strRef>
              <c:f>Durations!$M$3</c:f>
              <c:strCache>
                <c:ptCount val="1"/>
                <c:pt idx="0">
                  <c:v>Relax+Greedy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Durations!$I$4:$I$20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Durations!$M$4:$M$20</c:f>
              <c:numCache>
                <c:formatCode>0.00</c:formatCode>
                <c:ptCount val="17"/>
                <c:pt idx="0">
                  <c:v>0.13</c:v>
                </c:pt>
                <c:pt idx="1">
                  <c:v>1.58</c:v>
                </c:pt>
                <c:pt idx="2">
                  <c:v>2.88</c:v>
                </c:pt>
                <c:pt idx="3">
                  <c:v>5.09</c:v>
                </c:pt>
                <c:pt idx="4">
                  <c:v>15.3</c:v>
                </c:pt>
                <c:pt idx="5">
                  <c:v>16.739999999999998</c:v>
                </c:pt>
                <c:pt idx="6">
                  <c:v>27.34</c:v>
                </c:pt>
                <c:pt idx="7">
                  <c:v>56.73</c:v>
                </c:pt>
                <c:pt idx="8">
                  <c:v>106.88</c:v>
                </c:pt>
                <c:pt idx="9">
                  <c:v>183.1</c:v>
                </c:pt>
                <c:pt idx="10">
                  <c:v>219.84</c:v>
                </c:pt>
                <c:pt idx="11">
                  <c:v>238.67</c:v>
                </c:pt>
                <c:pt idx="12">
                  <c:v>476.17</c:v>
                </c:pt>
                <c:pt idx="13">
                  <c:v>821.61</c:v>
                </c:pt>
                <c:pt idx="14">
                  <c:v>1174.75</c:v>
                </c:pt>
                <c:pt idx="15">
                  <c:v>1400.85</c:v>
                </c:pt>
                <c:pt idx="16">
                  <c:v>1667.61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2B-47F2-B774-00BC9A031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630063"/>
        <c:axId val="247642127"/>
      </c:lineChart>
      <c:catAx>
        <c:axId val="24763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47642127"/>
        <c:crosses val="autoZero"/>
        <c:auto val="1"/>
        <c:lblAlgn val="ctr"/>
        <c:lblOffset val="100"/>
        <c:noMultiLvlLbl val="0"/>
      </c:catAx>
      <c:valAx>
        <c:axId val="24764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4763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Durations in seconds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Durations!$K$3</c:f>
              <c:strCache>
                <c:ptCount val="1"/>
                <c:pt idx="0">
                  <c:v>Basic Greedy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Durations!$I$21:$I$48</c:f>
              <c:numCache>
                <c:formatCode>General</c:formatCode>
                <c:ptCount val="2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</c:numCache>
            </c:numRef>
          </c:cat>
          <c:val>
            <c:numRef>
              <c:f>Durations!$K$21:$K$48</c:f>
              <c:numCache>
                <c:formatCode>0.00</c:formatCode>
                <c:ptCount val="28"/>
                <c:pt idx="0">
                  <c:v>820.95</c:v>
                </c:pt>
                <c:pt idx="1">
                  <c:v>1146.81</c:v>
                </c:pt>
                <c:pt idx="2">
                  <c:v>1405.79</c:v>
                </c:pt>
                <c:pt idx="3">
                  <c:v>1716.53</c:v>
                </c:pt>
                <c:pt idx="4">
                  <c:v>2198.0100000000002</c:v>
                </c:pt>
                <c:pt idx="5">
                  <c:v>2662.03</c:v>
                </c:pt>
                <c:pt idx="6">
                  <c:v>2893.65</c:v>
                </c:pt>
                <c:pt idx="7">
                  <c:v>3058.61</c:v>
                </c:pt>
                <c:pt idx="8">
                  <c:v>3471.28</c:v>
                </c:pt>
                <c:pt idx="9">
                  <c:v>3748.22</c:v>
                </c:pt>
                <c:pt idx="10">
                  <c:v>4326.1400000000003</c:v>
                </c:pt>
                <c:pt idx="11">
                  <c:v>4900.3599999999997</c:v>
                </c:pt>
                <c:pt idx="12">
                  <c:v>5119.2</c:v>
                </c:pt>
                <c:pt idx="13">
                  <c:v>6648.42</c:v>
                </c:pt>
                <c:pt idx="14">
                  <c:v>7592.48</c:v>
                </c:pt>
                <c:pt idx="15">
                  <c:v>7971.29</c:v>
                </c:pt>
                <c:pt idx="16">
                  <c:v>8257.25</c:v>
                </c:pt>
                <c:pt idx="17">
                  <c:v>9738.91</c:v>
                </c:pt>
                <c:pt idx="18">
                  <c:v>11858.81</c:v>
                </c:pt>
                <c:pt idx="19">
                  <c:v>12023.54</c:v>
                </c:pt>
                <c:pt idx="20">
                  <c:v>12260.41</c:v>
                </c:pt>
                <c:pt idx="21">
                  <c:v>13711.77</c:v>
                </c:pt>
                <c:pt idx="22">
                  <c:v>14013.52</c:v>
                </c:pt>
                <c:pt idx="23">
                  <c:v>14241.62</c:v>
                </c:pt>
                <c:pt idx="24">
                  <c:v>14894.78</c:v>
                </c:pt>
                <c:pt idx="25">
                  <c:v>15338.4</c:v>
                </c:pt>
                <c:pt idx="26">
                  <c:v>16377.33</c:v>
                </c:pt>
                <c:pt idx="27">
                  <c:v>17626.03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AA-4159-B574-C3818B48416A}"/>
            </c:ext>
          </c:extLst>
        </c:ser>
        <c:ser>
          <c:idx val="1"/>
          <c:order val="1"/>
          <c:tx>
            <c:strRef>
              <c:f>Durations!$L$3</c:f>
              <c:strCache>
                <c:ptCount val="1"/>
                <c:pt idx="0">
                  <c:v>Aggregate+Greedy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Durations!$I$21:$I$48</c:f>
              <c:numCache>
                <c:formatCode>General</c:formatCode>
                <c:ptCount val="2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</c:numCache>
            </c:numRef>
          </c:cat>
          <c:val>
            <c:numRef>
              <c:f>Durations!$L$21:$L$48</c:f>
              <c:numCache>
                <c:formatCode>0.00</c:formatCode>
                <c:ptCount val="28"/>
                <c:pt idx="0">
                  <c:v>806.84</c:v>
                </c:pt>
                <c:pt idx="1">
                  <c:v>946.38</c:v>
                </c:pt>
                <c:pt idx="2">
                  <c:v>1130.47</c:v>
                </c:pt>
                <c:pt idx="3">
                  <c:v>1214.83</c:v>
                </c:pt>
                <c:pt idx="4">
                  <c:v>1589.85</c:v>
                </c:pt>
                <c:pt idx="5">
                  <c:v>1943.48</c:v>
                </c:pt>
                <c:pt idx="6">
                  <c:v>2495.7199999999998</c:v>
                </c:pt>
                <c:pt idx="7">
                  <c:v>2908.53</c:v>
                </c:pt>
                <c:pt idx="8">
                  <c:v>3239.02</c:v>
                </c:pt>
                <c:pt idx="9">
                  <c:v>3381.93</c:v>
                </c:pt>
                <c:pt idx="10">
                  <c:v>3821.65</c:v>
                </c:pt>
                <c:pt idx="11">
                  <c:v>4109.79</c:v>
                </c:pt>
                <c:pt idx="12">
                  <c:v>5086.95</c:v>
                </c:pt>
                <c:pt idx="13">
                  <c:v>5333.99</c:v>
                </c:pt>
                <c:pt idx="14">
                  <c:v>6070.86</c:v>
                </c:pt>
                <c:pt idx="15">
                  <c:v>6849.45</c:v>
                </c:pt>
                <c:pt idx="16">
                  <c:v>7988.46</c:v>
                </c:pt>
                <c:pt idx="17">
                  <c:v>8639.3700000000008</c:v>
                </c:pt>
                <c:pt idx="18">
                  <c:v>9209.2800000000007</c:v>
                </c:pt>
                <c:pt idx="19">
                  <c:v>10806.42</c:v>
                </c:pt>
                <c:pt idx="20">
                  <c:v>12865.16</c:v>
                </c:pt>
                <c:pt idx="21">
                  <c:v>12139.41</c:v>
                </c:pt>
                <c:pt idx="22">
                  <c:v>13295.47</c:v>
                </c:pt>
                <c:pt idx="23">
                  <c:v>14882.96</c:v>
                </c:pt>
                <c:pt idx="24">
                  <c:v>15845.25</c:v>
                </c:pt>
                <c:pt idx="25">
                  <c:v>15975.66</c:v>
                </c:pt>
                <c:pt idx="26">
                  <c:v>15849.97</c:v>
                </c:pt>
                <c:pt idx="27">
                  <c:v>16546.47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AA-4159-B574-C3818B484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6370703"/>
        <c:axId val="1886368623"/>
      </c:lineChart>
      <c:catAx>
        <c:axId val="188637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886368623"/>
        <c:crosses val="autoZero"/>
        <c:auto val="1"/>
        <c:lblAlgn val="ctr"/>
        <c:lblOffset val="100"/>
        <c:noMultiLvlLbl val="0"/>
      </c:catAx>
      <c:valAx>
        <c:axId val="188636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88637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Durations!$C$3</c:f>
              <c:strCache>
                <c:ptCount val="1"/>
                <c:pt idx="0">
                  <c:v>BIP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Durations!$C$4:$C$48</c:f>
              <c:numCache>
                <c:formatCode>0.00</c:formatCode>
                <c:ptCount val="45"/>
                <c:pt idx="0">
                  <c:v>7.0000000000000007E-2</c:v>
                </c:pt>
                <c:pt idx="1">
                  <c:v>1.08</c:v>
                </c:pt>
                <c:pt idx="2">
                  <c:v>2.34</c:v>
                </c:pt>
                <c:pt idx="3">
                  <c:v>4.01</c:v>
                </c:pt>
                <c:pt idx="4">
                  <c:v>10.42</c:v>
                </c:pt>
                <c:pt idx="5">
                  <c:v>18.23</c:v>
                </c:pt>
                <c:pt idx="6">
                  <c:v>23.13</c:v>
                </c:pt>
                <c:pt idx="7">
                  <c:v>44.67</c:v>
                </c:pt>
                <c:pt idx="8">
                  <c:v>94.8</c:v>
                </c:pt>
                <c:pt idx="9">
                  <c:v>128.69999999999999</c:v>
                </c:pt>
                <c:pt idx="10">
                  <c:v>223.15</c:v>
                </c:pt>
                <c:pt idx="11">
                  <c:v>244.34</c:v>
                </c:pt>
                <c:pt idx="12">
                  <c:v>465.31</c:v>
                </c:pt>
                <c:pt idx="13">
                  <c:v>1721.69</c:v>
                </c:pt>
                <c:pt idx="14">
                  <c:v>2033.87</c:v>
                </c:pt>
                <c:pt idx="15">
                  <c:v>3348.65</c:v>
                </c:pt>
                <c:pt idx="16">
                  <c:v>4728.46</c:v>
                </c:pt>
                <c:pt idx="17">
                  <c:v>7368.02</c:v>
                </c:pt>
                <c:pt idx="18">
                  <c:v>8126.41</c:v>
                </c:pt>
                <c:pt idx="19">
                  <c:v>11567.48</c:v>
                </c:pt>
                <c:pt idx="20">
                  <c:v>14750.15</c:v>
                </c:pt>
                <c:pt idx="21">
                  <c:v>16961.64</c:v>
                </c:pt>
                <c:pt idx="22">
                  <c:v>20276.98</c:v>
                </c:pt>
                <c:pt idx="23">
                  <c:v>20687.150000000001</c:v>
                </c:pt>
                <c:pt idx="24">
                  <c:v>23317.34</c:v>
                </c:pt>
                <c:pt idx="25">
                  <c:v>27289.34</c:v>
                </c:pt>
                <c:pt idx="26">
                  <c:v>29017.82</c:v>
                </c:pt>
                <c:pt idx="27">
                  <c:v>38582.65</c:v>
                </c:pt>
                <c:pt idx="28">
                  <c:v>43735.08</c:v>
                </c:pt>
                <c:pt idx="29">
                  <c:v>48914.34</c:v>
                </c:pt>
                <c:pt idx="30">
                  <c:v>49561.84</c:v>
                </c:pt>
                <c:pt idx="31">
                  <c:v>51034.43</c:v>
                </c:pt>
                <c:pt idx="32">
                  <c:v>57914.87</c:v>
                </c:pt>
                <c:pt idx="33">
                  <c:v>68891.39</c:v>
                </c:pt>
                <c:pt idx="34">
                  <c:v>76391.45</c:v>
                </c:pt>
                <c:pt idx="35">
                  <c:v>84451.18</c:v>
                </c:pt>
                <c:pt idx="36">
                  <c:v>91784.36</c:v>
                </c:pt>
                <c:pt idx="37">
                  <c:v>99314.42</c:v>
                </c:pt>
                <c:pt idx="38">
                  <c:v>104934.71</c:v>
                </c:pt>
                <c:pt idx="39">
                  <c:v>110981.58</c:v>
                </c:pt>
                <c:pt idx="40">
                  <c:v>118392.34</c:v>
                </c:pt>
                <c:pt idx="41">
                  <c:v>120934</c:v>
                </c:pt>
                <c:pt idx="42">
                  <c:v>121304.76</c:v>
                </c:pt>
                <c:pt idx="43">
                  <c:v>130217.09</c:v>
                </c:pt>
                <c:pt idx="44">
                  <c:v>133405.38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6-5147-80C3-64615350A1D9}"/>
            </c:ext>
          </c:extLst>
        </c:ser>
        <c:ser>
          <c:idx val="1"/>
          <c:order val="1"/>
          <c:tx>
            <c:strRef>
              <c:f>Durations!$D$3</c:f>
              <c:strCache>
                <c:ptCount val="1"/>
                <c:pt idx="0">
                  <c:v>Basic Greedy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Durations!$D$4:$D$48</c:f>
              <c:numCache>
                <c:formatCode>0.00</c:formatCode>
                <c:ptCount val="45"/>
                <c:pt idx="0">
                  <c:v>0.02</c:v>
                </c:pt>
                <c:pt idx="1">
                  <c:v>0.01</c:v>
                </c:pt>
                <c:pt idx="2">
                  <c:v>0.1</c:v>
                </c:pt>
                <c:pt idx="3">
                  <c:v>0.09</c:v>
                </c:pt>
                <c:pt idx="4">
                  <c:v>0.36</c:v>
                </c:pt>
                <c:pt idx="5">
                  <c:v>0.59</c:v>
                </c:pt>
                <c:pt idx="6">
                  <c:v>1</c:v>
                </c:pt>
                <c:pt idx="7">
                  <c:v>1.91</c:v>
                </c:pt>
                <c:pt idx="8">
                  <c:v>4.8</c:v>
                </c:pt>
                <c:pt idx="9">
                  <c:v>5.27</c:v>
                </c:pt>
                <c:pt idx="10">
                  <c:v>14.34</c:v>
                </c:pt>
                <c:pt idx="11">
                  <c:v>17.21</c:v>
                </c:pt>
                <c:pt idx="12">
                  <c:v>60.12</c:v>
                </c:pt>
                <c:pt idx="13">
                  <c:v>176.74</c:v>
                </c:pt>
                <c:pt idx="14">
                  <c:v>233.67</c:v>
                </c:pt>
                <c:pt idx="15">
                  <c:v>370.3</c:v>
                </c:pt>
                <c:pt idx="16">
                  <c:v>563.04</c:v>
                </c:pt>
                <c:pt idx="17">
                  <c:v>931.80206718750003</c:v>
                </c:pt>
                <c:pt idx="18">
                  <c:v>1062.0897210937501</c:v>
                </c:pt>
                <c:pt idx="19">
                  <c:v>1341.1562531250001</c:v>
                </c:pt>
                <c:pt idx="20">
                  <c:v>1617.73972265625</c:v>
                </c:pt>
                <c:pt idx="21">
                  <c:v>2007.9907593750002</c:v>
                </c:pt>
                <c:pt idx="22">
                  <c:v>2408.8491046875001</c:v>
                </c:pt>
                <c:pt idx="23">
                  <c:v>2781.7905820312503</c:v>
                </c:pt>
                <c:pt idx="24">
                  <c:v>3053.0650640625004</c:v>
                </c:pt>
                <c:pt idx="25">
                  <c:v>3337.2335015625004</c:v>
                </c:pt>
                <c:pt idx="26">
                  <c:v>3722.8431140624998</c:v>
                </c:pt>
                <c:pt idx="27">
                  <c:v>4306.7551523437505</c:v>
                </c:pt>
                <c:pt idx="28">
                  <c:v>4848.2667843750005</c:v>
                </c:pt>
                <c:pt idx="29">
                  <c:v>5267.0362359374994</c:v>
                </c:pt>
                <c:pt idx="30">
                  <c:v>6257.2583062499998</c:v>
                </c:pt>
                <c:pt idx="31">
                  <c:v>7009.4089757812508</c:v>
                </c:pt>
                <c:pt idx="32">
                  <c:v>7813.5257039062499</c:v>
                </c:pt>
                <c:pt idx="33">
                  <c:v>8411.0032007812497</c:v>
                </c:pt>
                <c:pt idx="34">
                  <c:v>9221.0740898437489</c:v>
                </c:pt>
                <c:pt idx="35">
                  <c:v>11020.523057812499</c:v>
                </c:pt>
                <c:pt idx="36">
                  <c:v>11828.990334375001</c:v>
                </c:pt>
                <c:pt idx="37">
                  <c:v>12270.3495046875</c:v>
                </c:pt>
                <c:pt idx="38">
                  <c:v>13185.356978906249</c:v>
                </c:pt>
                <c:pt idx="39">
                  <c:v>13489.463620312501</c:v>
                </c:pt>
                <c:pt idx="40">
                  <c:v>13929.676392187501</c:v>
                </c:pt>
                <c:pt idx="41">
                  <c:v>14446.100156250001</c:v>
                </c:pt>
                <c:pt idx="42">
                  <c:v>15187.662928125001</c:v>
                </c:pt>
                <c:pt idx="43">
                  <c:v>16257.30484921875</c:v>
                </c:pt>
                <c:pt idx="44">
                  <c:v>17148.942323437499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E6-5147-80C3-64615350A1D9}"/>
            </c:ext>
          </c:extLst>
        </c:ser>
        <c:ser>
          <c:idx val="2"/>
          <c:order val="2"/>
          <c:tx>
            <c:strRef>
              <c:f>Durations!$E$3</c:f>
              <c:strCache>
                <c:ptCount val="1"/>
                <c:pt idx="0">
                  <c:v>Aggregate+Greedy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Durations!$E$4:$E$48</c:f>
              <c:numCache>
                <c:formatCode>0.00</c:formatCode>
                <c:ptCount val="45"/>
                <c:pt idx="0">
                  <c:v>0.01</c:v>
                </c:pt>
                <c:pt idx="1">
                  <c:v>0.01</c:v>
                </c:pt>
                <c:pt idx="2">
                  <c:v>0.09</c:v>
                </c:pt>
                <c:pt idx="3">
                  <c:v>0.1</c:v>
                </c:pt>
                <c:pt idx="4">
                  <c:v>0.37</c:v>
                </c:pt>
                <c:pt idx="5">
                  <c:v>0.75</c:v>
                </c:pt>
                <c:pt idx="6">
                  <c:v>2.0099999999999998</c:v>
                </c:pt>
                <c:pt idx="7">
                  <c:v>2.59</c:v>
                </c:pt>
                <c:pt idx="8">
                  <c:v>6.06</c:v>
                </c:pt>
                <c:pt idx="9">
                  <c:v>7.25</c:v>
                </c:pt>
                <c:pt idx="10">
                  <c:v>11.68</c:v>
                </c:pt>
                <c:pt idx="11">
                  <c:v>17.29</c:v>
                </c:pt>
                <c:pt idx="12">
                  <c:v>58</c:v>
                </c:pt>
                <c:pt idx="13">
                  <c:v>134.6</c:v>
                </c:pt>
                <c:pt idx="14">
                  <c:v>184.38</c:v>
                </c:pt>
                <c:pt idx="15">
                  <c:v>384.43</c:v>
                </c:pt>
                <c:pt idx="16">
                  <c:v>584.21</c:v>
                </c:pt>
                <c:pt idx="17">
                  <c:v>794.05638114880014</c:v>
                </c:pt>
                <c:pt idx="18">
                  <c:v>891.66883984500021</c:v>
                </c:pt>
                <c:pt idx="19">
                  <c:v>1014.0218313225001</c:v>
                </c:pt>
                <c:pt idx="20">
                  <c:v>1291.6182600300003</c:v>
                </c:pt>
                <c:pt idx="21">
                  <c:v>1564.7980513375001</c:v>
                </c:pt>
                <c:pt idx="22">
                  <c:v>1930.7685912900004</c:v>
                </c:pt>
                <c:pt idx="23">
                  <c:v>2315.6064114050005</c:v>
                </c:pt>
                <c:pt idx="24">
                  <c:v>2650.788339587501</c:v>
                </c:pt>
                <c:pt idx="25">
                  <c:v>2914.5250046150009</c:v>
                </c:pt>
                <c:pt idx="26">
                  <c:v>3201.1962216150005</c:v>
                </c:pt>
                <c:pt idx="27">
                  <c:v>3558.9110338950004</c:v>
                </c:pt>
                <c:pt idx="28">
                  <c:v>4159.957099462501</c:v>
                </c:pt>
                <c:pt idx="29">
                  <c:v>4685.5853211300009</c:v>
                </c:pt>
                <c:pt idx="30">
                  <c:v>5102.281727865</c:v>
                </c:pt>
                <c:pt idx="31">
                  <c:v>5988.4721597400003</c:v>
                </c:pt>
                <c:pt idx="32">
                  <c:v>6669.9844361675023</c:v>
                </c:pt>
                <c:pt idx="33">
                  <c:v>7443.9290367575004</c:v>
                </c:pt>
                <c:pt idx="34">
                  <c:v>8069.1040607275008</c:v>
                </c:pt>
                <c:pt idx="35">
                  <c:v>8853.6393612624997</c:v>
                </c:pt>
                <c:pt idx="36">
                  <c:v>10522.863881354999</c:v>
                </c:pt>
                <c:pt idx="37">
                  <c:v>11304.546827210002</c:v>
                </c:pt>
                <c:pt idx="38">
                  <c:v>11761.423695244999</c:v>
                </c:pt>
                <c:pt idx="39">
                  <c:v>12623.219896997502</c:v>
                </c:pt>
                <c:pt idx="40">
                  <c:v>12945.355310755001</c:v>
                </c:pt>
                <c:pt idx="41">
                  <c:v>13400.193073365004</c:v>
                </c:pt>
                <c:pt idx="42">
                  <c:v>13881.197361500002</c:v>
                </c:pt>
                <c:pt idx="43">
                  <c:v>14543.876884110001</c:v>
                </c:pt>
                <c:pt idx="44">
                  <c:v>15571.331856552504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E6-5147-80C3-64615350A1D9}"/>
            </c:ext>
          </c:extLst>
        </c:ser>
        <c:ser>
          <c:idx val="3"/>
          <c:order val="3"/>
          <c:tx>
            <c:strRef>
              <c:f>Durations!$F$3</c:f>
              <c:strCache>
                <c:ptCount val="1"/>
                <c:pt idx="0">
                  <c:v>Relax+Greedy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Durations!$F$4:$F$48</c:f>
              <c:numCache>
                <c:formatCode>0.00</c:formatCode>
                <c:ptCount val="45"/>
                <c:pt idx="0">
                  <c:v>0.09</c:v>
                </c:pt>
                <c:pt idx="1">
                  <c:v>0.96</c:v>
                </c:pt>
                <c:pt idx="2">
                  <c:v>2.14</c:v>
                </c:pt>
                <c:pt idx="3">
                  <c:v>3.67</c:v>
                </c:pt>
                <c:pt idx="4">
                  <c:v>11.05</c:v>
                </c:pt>
                <c:pt idx="5">
                  <c:v>15.72</c:v>
                </c:pt>
                <c:pt idx="6">
                  <c:v>21.58</c:v>
                </c:pt>
                <c:pt idx="7">
                  <c:v>38.44</c:v>
                </c:pt>
                <c:pt idx="8">
                  <c:v>105.75</c:v>
                </c:pt>
                <c:pt idx="9">
                  <c:v>145.21</c:v>
                </c:pt>
                <c:pt idx="10">
                  <c:v>205.07</c:v>
                </c:pt>
                <c:pt idx="11">
                  <c:v>246.77</c:v>
                </c:pt>
                <c:pt idx="12">
                  <c:v>450.08</c:v>
                </c:pt>
                <c:pt idx="13">
                  <c:v>727.76</c:v>
                </c:pt>
                <c:pt idx="14">
                  <c:v>1143.1600000000001</c:v>
                </c:pt>
                <c:pt idx="15">
                  <c:v>1389</c:v>
                </c:pt>
                <c:pt idx="16">
                  <c:v>1601.06</c:v>
                </c:pt>
                <c:pt idx="17">
                  <c:v>1842.0050000000001</c:v>
                </c:pt>
                <c:pt idx="18">
                  <c:v>2024.9307307152869</c:v>
                </c:pt>
                <c:pt idx="19">
                  <c:v>2885.6571383419987</c:v>
                </c:pt>
                <c:pt idx="20">
                  <c:v>3669.1710191069569</c:v>
                </c:pt>
                <c:pt idx="21">
                  <c:v>4231.3501556824995</c:v>
                </c:pt>
                <c:pt idx="22">
                  <c:v>5047.2647816942781</c:v>
                </c:pt>
                <c:pt idx="23">
                  <c:v>5146.4722056781966</c:v>
                </c:pt>
                <c:pt idx="24">
                  <c:v>5819.3675905747941</c:v>
                </c:pt>
                <c:pt idx="25">
                  <c:v>6793.2155924263607</c:v>
                </c:pt>
                <c:pt idx="26">
                  <c:v>7253.825624767549</c:v>
                </c:pt>
                <c:pt idx="27">
                  <c:v>9607.4606073456634</c:v>
                </c:pt>
                <c:pt idx="28">
                  <c:v>10921.383821712852</c:v>
                </c:pt>
                <c:pt idx="29">
                  <c:v>12174.277337814503</c:v>
                </c:pt>
                <c:pt idx="30">
                  <c:v>12356.523658779492</c:v>
                </c:pt>
                <c:pt idx="31">
                  <c:v>12727.011307630502</c:v>
                </c:pt>
                <c:pt idx="32">
                  <c:v>14468.146111697635</c:v>
                </c:pt>
                <c:pt idx="33">
                  <c:v>17178.907840725165</c:v>
                </c:pt>
                <c:pt idx="34">
                  <c:v>19035.976528605661</c:v>
                </c:pt>
                <c:pt idx="35">
                  <c:v>21093.500583406789</c:v>
                </c:pt>
                <c:pt idx="36">
                  <c:v>22945.505137387197</c:v>
                </c:pt>
                <c:pt idx="37">
                  <c:v>24791.358062967796</c:v>
                </c:pt>
                <c:pt idx="38">
                  <c:v>26109.414229394075</c:v>
                </c:pt>
                <c:pt idx="39">
                  <c:v>27672.613090797113</c:v>
                </c:pt>
                <c:pt idx="40">
                  <c:v>29455.238718951652</c:v>
                </c:pt>
                <c:pt idx="41">
                  <c:v>30130.370757749344</c:v>
                </c:pt>
                <c:pt idx="42">
                  <c:v>30234.654924867787</c:v>
                </c:pt>
                <c:pt idx="43">
                  <c:v>32471.31236248972</c:v>
                </c:pt>
                <c:pt idx="44">
                  <c:v>33238.827580969257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E6-5147-80C3-64615350A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0857791"/>
        <c:axId val="890864031"/>
      </c:barChart>
      <c:catAx>
        <c:axId val="890857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890864031"/>
        <c:crosses val="autoZero"/>
        <c:auto val="1"/>
        <c:lblAlgn val="ctr"/>
        <c:lblOffset val="100"/>
        <c:noMultiLvlLbl val="0"/>
      </c:catAx>
      <c:valAx>
        <c:axId val="89086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89085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Durations!$J$3</c:f>
              <c:strCache>
                <c:ptCount val="1"/>
                <c:pt idx="0">
                  <c:v>BIP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Durations!$I$4:$I$20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Durations!$J$4:$J$20</c:f>
              <c:numCache>
                <c:formatCode>0.00</c:formatCode>
                <c:ptCount val="17"/>
                <c:pt idx="0">
                  <c:v>0.1</c:v>
                </c:pt>
                <c:pt idx="1">
                  <c:v>1.55</c:v>
                </c:pt>
                <c:pt idx="2">
                  <c:v>3.51</c:v>
                </c:pt>
                <c:pt idx="3">
                  <c:v>6.32</c:v>
                </c:pt>
                <c:pt idx="4">
                  <c:v>12.26</c:v>
                </c:pt>
                <c:pt idx="5">
                  <c:v>22.96</c:v>
                </c:pt>
                <c:pt idx="6">
                  <c:v>23.9</c:v>
                </c:pt>
                <c:pt idx="7">
                  <c:v>63.76</c:v>
                </c:pt>
                <c:pt idx="8">
                  <c:v>95.75</c:v>
                </c:pt>
                <c:pt idx="9">
                  <c:v>123.14</c:v>
                </c:pt>
                <c:pt idx="10">
                  <c:v>216.93</c:v>
                </c:pt>
                <c:pt idx="11">
                  <c:v>326.14999999999998</c:v>
                </c:pt>
                <c:pt idx="12">
                  <c:v>547.82000000000005</c:v>
                </c:pt>
                <c:pt idx="13">
                  <c:v>2062.34</c:v>
                </c:pt>
                <c:pt idx="14">
                  <c:v>2337.4299999999998</c:v>
                </c:pt>
                <c:pt idx="15">
                  <c:v>3581.33</c:v>
                </c:pt>
                <c:pt idx="16">
                  <c:v>4757.93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C-014F-A737-5A08D3A7B7E9}"/>
            </c:ext>
          </c:extLst>
        </c:ser>
        <c:ser>
          <c:idx val="1"/>
          <c:order val="1"/>
          <c:tx>
            <c:strRef>
              <c:f>Durations!$K$3</c:f>
              <c:strCache>
                <c:ptCount val="1"/>
                <c:pt idx="0">
                  <c:v>Basic Greedy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Durations!$I$4:$I$20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Durations!$K$4:$K$20</c:f>
              <c:numCache>
                <c:formatCode>0.00</c:formatCode>
                <c:ptCount val="17"/>
                <c:pt idx="0">
                  <c:v>0.02</c:v>
                </c:pt>
                <c:pt idx="1">
                  <c:v>0.01</c:v>
                </c:pt>
                <c:pt idx="2">
                  <c:v>0.15</c:v>
                </c:pt>
                <c:pt idx="3">
                  <c:v>7.0000000000000007E-2</c:v>
                </c:pt>
                <c:pt idx="4">
                  <c:v>0.45</c:v>
                </c:pt>
                <c:pt idx="5">
                  <c:v>0.62</c:v>
                </c:pt>
                <c:pt idx="6">
                  <c:v>1.55</c:v>
                </c:pt>
                <c:pt idx="7">
                  <c:v>2.78</c:v>
                </c:pt>
                <c:pt idx="8">
                  <c:v>7.73</c:v>
                </c:pt>
                <c:pt idx="9">
                  <c:v>6.01</c:v>
                </c:pt>
                <c:pt idx="10">
                  <c:v>23.09</c:v>
                </c:pt>
                <c:pt idx="11">
                  <c:v>23.32</c:v>
                </c:pt>
                <c:pt idx="12">
                  <c:v>72.66</c:v>
                </c:pt>
                <c:pt idx="13">
                  <c:v>163.68</c:v>
                </c:pt>
                <c:pt idx="14">
                  <c:v>248.13</c:v>
                </c:pt>
                <c:pt idx="15">
                  <c:v>390.01</c:v>
                </c:pt>
                <c:pt idx="16">
                  <c:v>514.65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4C-014F-A737-5A08D3A7B7E9}"/>
            </c:ext>
          </c:extLst>
        </c:ser>
        <c:ser>
          <c:idx val="2"/>
          <c:order val="2"/>
          <c:tx>
            <c:strRef>
              <c:f>Durations!$L$3</c:f>
              <c:strCache>
                <c:ptCount val="1"/>
                <c:pt idx="0">
                  <c:v>Aggregate+Greedy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Durations!$I$4:$I$20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Durations!$L$4:$L$20</c:f>
              <c:numCache>
                <c:formatCode>0.00</c:formatCode>
                <c:ptCount val="17"/>
                <c:pt idx="0">
                  <c:v>0.01</c:v>
                </c:pt>
                <c:pt idx="1">
                  <c:v>0.01</c:v>
                </c:pt>
                <c:pt idx="2">
                  <c:v>0.09</c:v>
                </c:pt>
                <c:pt idx="3">
                  <c:v>0.16</c:v>
                </c:pt>
                <c:pt idx="4">
                  <c:v>0.61</c:v>
                </c:pt>
                <c:pt idx="5">
                  <c:v>0.79</c:v>
                </c:pt>
                <c:pt idx="6">
                  <c:v>3.01</c:v>
                </c:pt>
                <c:pt idx="7">
                  <c:v>2.69</c:v>
                </c:pt>
                <c:pt idx="8">
                  <c:v>6.86</c:v>
                </c:pt>
                <c:pt idx="9">
                  <c:v>6.9</c:v>
                </c:pt>
                <c:pt idx="10">
                  <c:v>16.899999999999999</c:v>
                </c:pt>
                <c:pt idx="11">
                  <c:v>14.66</c:v>
                </c:pt>
                <c:pt idx="12">
                  <c:v>81.88</c:v>
                </c:pt>
                <c:pt idx="13">
                  <c:v>193.59</c:v>
                </c:pt>
                <c:pt idx="14">
                  <c:v>190.68</c:v>
                </c:pt>
                <c:pt idx="15">
                  <c:v>393.57</c:v>
                </c:pt>
                <c:pt idx="16">
                  <c:v>597.01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4C-014F-A737-5A08D3A7B7E9}"/>
            </c:ext>
          </c:extLst>
        </c:ser>
        <c:ser>
          <c:idx val="3"/>
          <c:order val="3"/>
          <c:tx>
            <c:strRef>
              <c:f>Durations!$M$3</c:f>
              <c:strCache>
                <c:ptCount val="1"/>
                <c:pt idx="0">
                  <c:v>Relax+Greedy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Durations!$I$4:$I$20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Durations!$M$4:$M$20</c:f>
              <c:numCache>
                <c:formatCode>0.00</c:formatCode>
                <c:ptCount val="17"/>
                <c:pt idx="0">
                  <c:v>0.13</c:v>
                </c:pt>
                <c:pt idx="1">
                  <c:v>1.58</c:v>
                </c:pt>
                <c:pt idx="2">
                  <c:v>2.88</c:v>
                </c:pt>
                <c:pt idx="3">
                  <c:v>5.09</c:v>
                </c:pt>
                <c:pt idx="4">
                  <c:v>15.3</c:v>
                </c:pt>
                <c:pt idx="5">
                  <c:v>16.739999999999998</c:v>
                </c:pt>
                <c:pt idx="6">
                  <c:v>27.34</c:v>
                </c:pt>
                <c:pt idx="7">
                  <c:v>56.73</c:v>
                </c:pt>
                <c:pt idx="8">
                  <c:v>106.88</c:v>
                </c:pt>
                <c:pt idx="9">
                  <c:v>183.1</c:v>
                </c:pt>
                <c:pt idx="10">
                  <c:v>219.84</c:v>
                </c:pt>
                <c:pt idx="11">
                  <c:v>238.67</c:v>
                </c:pt>
                <c:pt idx="12">
                  <c:v>476.17</c:v>
                </c:pt>
                <c:pt idx="13">
                  <c:v>821.61</c:v>
                </c:pt>
                <c:pt idx="14">
                  <c:v>1174.75</c:v>
                </c:pt>
                <c:pt idx="15">
                  <c:v>1400.85</c:v>
                </c:pt>
                <c:pt idx="16">
                  <c:v>1667.61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4C-014F-A737-5A08D3A7B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7630063"/>
        <c:axId val="247642127"/>
      </c:barChart>
      <c:catAx>
        <c:axId val="24763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47642127"/>
        <c:crosses val="autoZero"/>
        <c:auto val="1"/>
        <c:lblAlgn val="ctr"/>
        <c:lblOffset val="100"/>
        <c:noMultiLvlLbl val="0"/>
      </c:catAx>
      <c:valAx>
        <c:axId val="24764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4763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Durations!$K$3</c:f>
              <c:strCache>
                <c:ptCount val="1"/>
                <c:pt idx="0">
                  <c:v>Basic Greedy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numRef>
              <c:f>Durations!$I$21:$I$48</c:f>
              <c:numCache>
                <c:formatCode>General</c:formatCode>
                <c:ptCount val="2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</c:numCache>
            </c:numRef>
          </c:cat>
          <c:val>
            <c:numRef>
              <c:f>Durations!$K$21:$K$48</c:f>
              <c:numCache>
                <c:formatCode>0.00</c:formatCode>
                <c:ptCount val="28"/>
                <c:pt idx="0">
                  <c:v>820.95</c:v>
                </c:pt>
                <c:pt idx="1">
                  <c:v>1146.81</c:v>
                </c:pt>
                <c:pt idx="2">
                  <c:v>1405.79</c:v>
                </c:pt>
                <c:pt idx="3">
                  <c:v>1716.53</c:v>
                </c:pt>
                <c:pt idx="4">
                  <c:v>2198.0100000000002</c:v>
                </c:pt>
                <c:pt idx="5">
                  <c:v>2662.03</c:v>
                </c:pt>
                <c:pt idx="6">
                  <c:v>2893.65</c:v>
                </c:pt>
                <c:pt idx="7">
                  <c:v>3058.61</c:v>
                </c:pt>
                <c:pt idx="8">
                  <c:v>3471.28</c:v>
                </c:pt>
                <c:pt idx="9">
                  <c:v>3748.22</c:v>
                </c:pt>
                <c:pt idx="10">
                  <c:v>4326.1400000000003</c:v>
                </c:pt>
                <c:pt idx="11">
                  <c:v>4900.3599999999997</c:v>
                </c:pt>
                <c:pt idx="12">
                  <c:v>5119.2</c:v>
                </c:pt>
                <c:pt idx="13">
                  <c:v>6648.42</c:v>
                </c:pt>
                <c:pt idx="14">
                  <c:v>7592.48</c:v>
                </c:pt>
                <c:pt idx="15">
                  <c:v>7971.29</c:v>
                </c:pt>
                <c:pt idx="16">
                  <c:v>8257.25</c:v>
                </c:pt>
                <c:pt idx="17">
                  <c:v>9738.91</c:v>
                </c:pt>
                <c:pt idx="18">
                  <c:v>11858.81</c:v>
                </c:pt>
                <c:pt idx="19">
                  <c:v>12023.54</c:v>
                </c:pt>
                <c:pt idx="20">
                  <c:v>12260.41</c:v>
                </c:pt>
                <c:pt idx="21">
                  <c:v>13711.77</c:v>
                </c:pt>
                <c:pt idx="22">
                  <c:v>14013.52</c:v>
                </c:pt>
                <c:pt idx="23">
                  <c:v>14241.62</c:v>
                </c:pt>
                <c:pt idx="24">
                  <c:v>14894.78</c:v>
                </c:pt>
                <c:pt idx="25">
                  <c:v>15338.4</c:v>
                </c:pt>
                <c:pt idx="26">
                  <c:v>16377.33</c:v>
                </c:pt>
                <c:pt idx="27">
                  <c:v>17626.03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8-2D4C-B4C7-59DD44E33214}"/>
            </c:ext>
          </c:extLst>
        </c:ser>
        <c:ser>
          <c:idx val="1"/>
          <c:order val="1"/>
          <c:tx>
            <c:strRef>
              <c:f>Durations!$L$3</c:f>
              <c:strCache>
                <c:ptCount val="1"/>
                <c:pt idx="0">
                  <c:v>Aggregate+Greedy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cat>
            <c:numRef>
              <c:f>Durations!$I$21:$I$48</c:f>
              <c:numCache>
                <c:formatCode>General</c:formatCode>
                <c:ptCount val="2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</c:numCache>
            </c:numRef>
          </c:cat>
          <c:val>
            <c:numRef>
              <c:f>Durations!$L$21:$L$48</c:f>
              <c:numCache>
                <c:formatCode>0.00</c:formatCode>
                <c:ptCount val="28"/>
                <c:pt idx="0">
                  <c:v>806.84</c:v>
                </c:pt>
                <c:pt idx="1">
                  <c:v>946.38</c:v>
                </c:pt>
                <c:pt idx="2">
                  <c:v>1130.47</c:v>
                </c:pt>
                <c:pt idx="3">
                  <c:v>1214.83</c:v>
                </c:pt>
                <c:pt idx="4">
                  <c:v>1589.85</c:v>
                </c:pt>
                <c:pt idx="5">
                  <c:v>1943.48</c:v>
                </c:pt>
                <c:pt idx="6">
                  <c:v>2495.7199999999998</c:v>
                </c:pt>
                <c:pt idx="7">
                  <c:v>2908.53</c:v>
                </c:pt>
                <c:pt idx="8">
                  <c:v>3239.02</c:v>
                </c:pt>
                <c:pt idx="9">
                  <c:v>3381.93</c:v>
                </c:pt>
                <c:pt idx="10">
                  <c:v>3821.65</c:v>
                </c:pt>
                <c:pt idx="11">
                  <c:v>4109.79</c:v>
                </c:pt>
                <c:pt idx="12">
                  <c:v>5086.95</c:v>
                </c:pt>
                <c:pt idx="13">
                  <c:v>5333.99</c:v>
                </c:pt>
                <c:pt idx="14">
                  <c:v>6070.86</c:v>
                </c:pt>
                <c:pt idx="15">
                  <c:v>6849.45</c:v>
                </c:pt>
                <c:pt idx="16">
                  <c:v>7988.46</c:v>
                </c:pt>
                <c:pt idx="17">
                  <c:v>8639.3700000000008</c:v>
                </c:pt>
                <c:pt idx="18">
                  <c:v>9209.2800000000007</c:v>
                </c:pt>
                <c:pt idx="19">
                  <c:v>10806.42</c:v>
                </c:pt>
                <c:pt idx="20">
                  <c:v>12865.16</c:v>
                </c:pt>
                <c:pt idx="21">
                  <c:v>12139.41</c:v>
                </c:pt>
                <c:pt idx="22">
                  <c:v>13295.47</c:v>
                </c:pt>
                <c:pt idx="23">
                  <c:v>14882.96</c:v>
                </c:pt>
                <c:pt idx="24">
                  <c:v>15845.25</c:v>
                </c:pt>
                <c:pt idx="25">
                  <c:v>15975.66</c:v>
                </c:pt>
                <c:pt idx="26">
                  <c:v>15849.97</c:v>
                </c:pt>
                <c:pt idx="27">
                  <c:v>16546.47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98-2D4C-B4C7-59DD44E33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6370703"/>
        <c:axId val="1886368623"/>
      </c:barChart>
      <c:catAx>
        <c:axId val="188637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886368623"/>
        <c:crosses val="autoZero"/>
        <c:auto val="1"/>
        <c:lblAlgn val="ctr"/>
        <c:lblOffset val="100"/>
        <c:noMultiLvlLbl val="0"/>
      </c:catAx>
      <c:valAx>
        <c:axId val="188636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88637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% Objective Value Gap to MIP Exact Solution for Limited Channel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'strict channel'!$A$1:$C$1</c:f>
              <c:strCache>
                <c:ptCount val="1"/>
                <c:pt idx="0">
                  <c:v>Aggregate+Greedy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'strict channel'!$C$2:$C$18</c:f>
              <c:numCache>
                <c:formatCode>0.0%</c:formatCode>
                <c:ptCount val="17"/>
                <c:pt idx="0">
                  <c:v>0</c:v>
                </c:pt>
                <c:pt idx="1">
                  <c:v>3.6098310291858678E-2</c:v>
                </c:pt>
                <c:pt idx="2">
                  <c:v>0</c:v>
                </c:pt>
                <c:pt idx="3">
                  <c:v>4.758107389686337E-2</c:v>
                </c:pt>
                <c:pt idx="4">
                  <c:v>8.1632653061224483E-2</c:v>
                </c:pt>
                <c:pt idx="5">
                  <c:v>1.7142857142857144E-2</c:v>
                </c:pt>
                <c:pt idx="6">
                  <c:v>3.6336485813837729E-3</c:v>
                </c:pt>
                <c:pt idx="7">
                  <c:v>4.2628205128205129E-2</c:v>
                </c:pt>
                <c:pt idx="8">
                  <c:v>3.2612712490761274E-2</c:v>
                </c:pt>
                <c:pt idx="9">
                  <c:v>6.854156296665008E-2</c:v>
                </c:pt>
                <c:pt idx="10">
                  <c:v>0.11898430178069354</c:v>
                </c:pt>
                <c:pt idx="11">
                  <c:v>0.14696395392047565</c:v>
                </c:pt>
                <c:pt idx="12">
                  <c:v>0.14141113892365456</c:v>
                </c:pt>
                <c:pt idx="13">
                  <c:v>0.12412588652482269</c:v>
                </c:pt>
                <c:pt idx="14">
                  <c:v>0.12166943521594685</c:v>
                </c:pt>
                <c:pt idx="15">
                  <c:v>5.0576288659793814E-2</c:v>
                </c:pt>
                <c:pt idx="16">
                  <c:v>8.5621600621600624E-2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3-439A-9924-22F9048EEA89}"/>
            </c:ext>
          </c:extLst>
        </c:ser>
        <c:ser>
          <c:idx val="1"/>
          <c:order val="1"/>
          <c:tx>
            <c:strRef>
              <c:f>'strict channel'!$E$1:$G$1</c:f>
              <c:strCache>
                <c:ptCount val="1"/>
                <c:pt idx="0">
                  <c:v>Basic Greedy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'strict channel'!$G$2:$G$18</c:f>
              <c:numCache>
                <c:formatCode>0.0%</c:formatCode>
                <c:ptCount val="17"/>
                <c:pt idx="0">
                  <c:v>0</c:v>
                </c:pt>
                <c:pt idx="1">
                  <c:v>3.6098310291858678E-2</c:v>
                </c:pt>
                <c:pt idx="2">
                  <c:v>0</c:v>
                </c:pt>
                <c:pt idx="3">
                  <c:v>4.758107389686337E-2</c:v>
                </c:pt>
                <c:pt idx="4">
                  <c:v>8.1632653061224483E-2</c:v>
                </c:pt>
                <c:pt idx="5">
                  <c:v>1.7142857142857144E-2</c:v>
                </c:pt>
                <c:pt idx="6">
                  <c:v>0.13877551020408163</c:v>
                </c:pt>
                <c:pt idx="7">
                  <c:v>0.24221153846153845</c:v>
                </c:pt>
                <c:pt idx="8">
                  <c:v>3.2612712490761274E-2</c:v>
                </c:pt>
                <c:pt idx="9">
                  <c:v>0.22518666002986559</c:v>
                </c:pt>
                <c:pt idx="10">
                  <c:v>0.29495665417057171</c:v>
                </c:pt>
                <c:pt idx="11">
                  <c:v>0.26164994425863991</c:v>
                </c:pt>
                <c:pt idx="12">
                  <c:v>0.28030037546933667</c:v>
                </c:pt>
                <c:pt idx="13">
                  <c:v>0.17876241134751772</c:v>
                </c:pt>
                <c:pt idx="14">
                  <c:v>0.13572882059800664</c:v>
                </c:pt>
                <c:pt idx="15">
                  <c:v>8.2135051546391752E-2</c:v>
                </c:pt>
                <c:pt idx="16">
                  <c:v>8.5621600621600624E-2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3-439A-9924-22F9048EEA89}"/>
            </c:ext>
          </c:extLst>
        </c:ser>
        <c:ser>
          <c:idx val="2"/>
          <c:order val="2"/>
          <c:tx>
            <c:strRef>
              <c:f>'strict channel'!$I$1:$K$1</c:f>
              <c:strCache>
                <c:ptCount val="1"/>
                <c:pt idx="0">
                  <c:v>Relax+Greedy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'strict channel'!$K$2:$K$18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7.6583210603829157E-4</c:v>
                </c:pt>
                <c:pt idx="6">
                  <c:v>0</c:v>
                </c:pt>
                <c:pt idx="7">
                  <c:v>0</c:v>
                </c:pt>
                <c:pt idx="8">
                  <c:v>5.5432372505543242E-3</c:v>
                </c:pt>
                <c:pt idx="9">
                  <c:v>1.1033681765389082E-2</c:v>
                </c:pt>
                <c:pt idx="10">
                  <c:v>0</c:v>
                </c:pt>
                <c:pt idx="11">
                  <c:v>6.9119286510590855E-3</c:v>
                </c:pt>
                <c:pt idx="12">
                  <c:v>5.6320400500625787E-4</c:v>
                </c:pt>
                <c:pt idx="13">
                  <c:v>2.8368794326241134E-4</c:v>
                </c:pt>
                <c:pt idx="14">
                  <c:v>1.4742524916943522E-3</c:v>
                </c:pt>
                <c:pt idx="15">
                  <c:v>0</c:v>
                </c:pt>
                <c:pt idx="16">
                  <c:v>5.1800051800051804E-4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43-439A-9924-22F9048EE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935375"/>
        <c:axId val="1895933711"/>
      </c:lineChart>
      <c:catAx>
        <c:axId val="18959353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895933711"/>
        <c:crosses val="autoZero"/>
        <c:auto val="1"/>
        <c:lblAlgn val="ctr"/>
        <c:lblOffset val="100"/>
        <c:noMultiLvlLbl val="0"/>
      </c:catAx>
      <c:valAx>
        <c:axId val="189593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89593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800" b="0" i="0" baseline="0">
                <a:effectLst/>
              </a:rPr>
              <a:t>% Objective Value Gap to Upper-Bound for Limited Channel Capacity</a:t>
            </a:r>
            <a:endParaRPr lang="tr-T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'strict channel'!$A$1:$C$1</c:f>
              <c:strCache>
                <c:ptCount val="1"/>
                <c:pt idx="0">
                  <c:v>Aggregate+Greedy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'strict channel'!$A$19:$A$46</c:f>
              <c:numCache>
                <c:formatCode>General</c:formatCode>
                <c:ptCount val="2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</c:numCache>
            </c:numRef>
          </c:cat>
          <c:val>
            <c:numRef>
              <c:f>'strict channel'!$C$19:$C$46</c:f>
              <c:numCache>
                <c:formatCode>0.0%</c:formatCode>
                <c:ptCount val="28"/>
                <c:pt idx="0">
                  <c:v>0.10525560351552343</c:v>
                </c:pt>
                <c:pt idx="1">
                  <c:v>0.10727508330248056</c:v>
                </c:pt>
                <c:pt idx="2">
                  <c:v>6.1454720739024964E-2</c:v>
                </c:pt>
                <c:pt idx="3">
                  <c:v>6.1152636738890959E-2</c:v>
                </c:pt>
                <c:pt idx="4">
                  <c:v>5.6746249768906083E-2</c:v>
                </c:pt>
                <c:pt idx="5">
                  <c:v>0.11914073032261653</c:v>
                </c:pt>
                <c:pt idx="6">
                  <c:v>4.7842126837266498E-2</c:v>
                </c:pt>
                <c:pt idx="7">
                  <c:v>0.14354737926473884</c:v>
                </c:pt>
                <c:pt idx="8">
                  <c:v>0.11147304376893077</c:v>
                </c:pt>
                <c:pt idx="9">
                  <c:v>6.928407170574917E-2</c:v>
                </c:pt>
                <c:pt idx="10">
                  <c:v>0.13566570746596543</c:v>
                </c:pt>
                <c:pt idx="11">
                  <c:v>5.0376914516441433E-2</c:v>
                </c:pt>
                <c:pt idx="12">
                  <c:v>6.6880368988717631E-2</c:v>
                </c:pt>
                <c:pt idx="13">
                  <c:v>8.4443165977031845E-2</c:v>
                </c:pt>
                <c:pt idx="14">
                  <c:v>3.9451474538658111E-2</c:v>
                </c:pt>
                <c:pt idx="15">
                  <c:v>7.4947247928898508E-2</c:v>
                </c:pt>
                <c:pt idx="16">
                  <c:v>0.10761940929141713</c:v>
                </c:pt>
                <c:pt idx="17">
                  <c:v>8.5283061160062373E-2</c:v>
                </c:pt>
                <c:pt idx="18">
                  <c:v>9.6819929349237249E-2</c:v>
                </c:pt>
                <c:pt idx="19">
                  <c:v>7.900422856258138E-2</c:v>
                </c:pt>
                <c:pt idx="20">
                  <c:v>7.2615525069536127E-2</c:v>
                </c:pt>
                <c:pt idx="21">
                  <c:v>9.5677297746248974E-2</c:v>
                </c:pt>
                <c:pt idx="22">
                  <c:v>0.17033591029572154</c:v>
                </c:pt>
                <c:pt idx="23">
                  <c:v>0.13163459668615074</c:v>
                </c:pt>
                <c:pt idx="24">
                  <c:v>0.12257501684480773</c:v>
                </c:pt>
                <c:pt idx="25">
                  <c:v>0.11231338426822614</c:v>
                </c:pt>
                <c:pt idx="26">
                  <c:v>9.8033637732355697E-2</c:v>
                </c:pt>
                <c:pt idx="27">
                  <c:v>0.1017248772600066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13-4595-B6AA-FFC29C81A645}"/>
            </c:ext>
          </c:extLst>
        </c:ser>
        <c:ser>
          <c:idx val="1"/>
          <c:order val="1"/>
          <c:tx>
            <c:strRef>
              <c:f>'strict channel'!$E$1:$G$1</c:f>
              <c:strCache>
                <c:ptCount val="1"/>
                <c:pt idx="0">
                  <c:v>Basic Greedy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'strict channel'!$A$19:$A$46</c:f>
              <c:numCache>
                <c:formatCode>General</c:formatCode>
                <c:ptCount val="2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</c:numCache>
            </c:numRef>
          </c:cat>
          <c:val>
            <c:numRef>
              <c:f>'strict channel'!$G$19:$G$46</c:f>
              <c:numCache>
                <c:formatCode>0.0%</c:formatCode>
                <c:ptCount val="28"/>
                <c:pt idx="0">
                  <c:v>0.18823443756825628</c:v>
                </c:pt>
                <c:pt idx="1">
                  <c:v>0.26659848204368752</c:v>
                </c:pt>
                <c:pt idx="2">
                  <c:v>0.41602224584039355</c:v>
                </c:pt>
                <c:pt idx="3">
                  <c:v>0.56829931294553704</c:v>
                </c:pt>
                <c:pt idx="4">
                  <c:v>0.47937633285856013</c:v>
                </c:pt>
                <c:pt idx="5">
                  <c:v>0.35037556081576843</c:v>
                </c:pt>
                <c:pt idx="6">
                  <c:v>0.4672013038980305</c:v>
                </c:pt>
                <c:pt idx="7">
                  <c:v>0.4361371937563856</c:v>
                </c:pt>
                <c:pt idx="8">
                  <c:v>0.4025143880544752</c:v>
                </c:pt>
                <c:pt idx="9">
                  <c:v>0.451815337428849</c:v>
                </c:pt>
                <c:pt idx="10">
                  <c:v>0.40373210493223644</c:v>
                </c:pt>
                <c:pt idx="11">
                  <c:v>0.38760775520340113</c:v>
                </c:pt>
                <c:pt idx="12">
                  <c:v>0.54512294807994055</c:v>
                </c:pt>
                <c:pt idx="13">
                  <c:v>0.20929913924722857</c:v>
                </c:pt>
                <c:pt idx="14">
                  <c:v>0.42619431544573011</c:v>
                </c:pt>
                <c:pt idx="15">
                  <c:v>0.23322588080825843</c:v>
                </c:pt>
                <c:pt idx="16">
                  <c:v>0.25175855288900606</c:v>
                </c:pt>
                <c:pt idx="17">
                  <c:v>0.25918540055525019</c:v>
                </c:pt>
                <c:pt idx="18">
                  <c:v>0.44387207993962685</c:v>
                </c:pt>
                <c:pt idx="19">
                  <c:v>0.44800335194816238</c:v>
                </c:pt>
                <c:pt idx="20">
                  <c:v>0.38104955013444791</c:v>
                </c:pt>
                <c:pt idx="21">
                  <c:v>0.20476316424388413</c:v>
                </c:pt>
                <c:pt idx="22">
                  <c:v>0.17113654495068334</c:v>
                </c:pt>
                <c:pt idx="23">
                  <c:v>0.3401208055094882</c:v>
                </c:pt>
                <c:pt idx="24">
                  <c:v>0.29207343392051488</c:v>
                </c:pt>
                <c:pt idx="25">
                  <c:v>0.29191628056255703</c:v>
                </c:pt>
                <c:pt idx="26">
                  <c:v>0.37033155084666863</c:v>
                </c:pt>
                <c:pt idx="27">
                  <c:v>0.52305509489619395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13-4595-B6AA-FFC29C81A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1058863"/>
        <c:axId val="2001070095"/>
      </c:lineChart>
      <c:catAx>
        <c:axId val="200105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001070095"/>
        <c:crosses val="autoZero"/>
        <c:auto val="1"/>
        <c:lblAlgn val="ctr"/>
        <c:lblOffset val="100"/>
        <c:noMultiLvlLbl val="0"/>
      </c:catAx>
      <c:valAx>
        <c:axId val="200107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00105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'strict channel'!$E$1:$G$1</c:f>
              <c:strCache>
                <c:ptCount val="1"/>
                <c:pt idx="0">
                  <c:v>Basic Greedy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'strict channel'!$G$2:$G$18</c:f>
              <c:numCache>
                <c:formatCode>0.0%</c:formatCode>
                <c:ptCount val="17"/>
                <c:pt idx="0">
                  <c:v>0</c:v>
                </c:pt>
                <c:pt idx="1">
                  <c:v>3.6098310291858678E-2</c:v>
                </c:pt>
                <c:pt idx="2">
                  <c:v>0</c:v>
                </c:pt>
                <c:pt idx="3">
                  <c:v>4.758107389686337E-2</c:v>
                </c:pt>
                <c:pt idx="4">
                  <c:v>8.1632653061224483E-2</c:v>
                </c:pt>
                <c:pt idx="5">
                  <c:v>1.7142857142857144E-2</c:v>
                </c:pt>
                <c:pt idx="6">
                  <c:v>0.13877551020408163</c:v>
                </c:pt>
                <c:pt idx="7">
                  <c:v>0.24221153846153845</c:v>
                </c:pt>
                <c:pt idx="8">
                  <c:v>3.2612712490761274E-2</c:v>
                </c:pt>
                <c:pt idx="9">
                  <c:v>0.22518666002986559</c:v>
                </c:pt>
                <c:pt idx="10">
                  <c:v>0.29495665417057171</c:v>
                </c:pt>
                <c:pt idx="11">
                  <c:v>0.26164994425863991</c:v>
                </c:pt>
                <c:pt idx="12">
                  <c:v>0.28030037546933667</c:v>
                </c:pt>
                <c:pt idx="13">
                  <c:v>0.17876241134751772</c:v>
                </c:pt>
                <c:pt idx="14">
                  <c:v>0.13572882059800664</c:v>
                </c:pt>
                <c:pt idx="15">
                  <c:v>8.2135051546391752E-2</c:v>
                </c:pt>
                <c:pt idx="16">
                  <c:v>8.5621600621600624E-2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54-854C-9FA8-DF05ECAC2860}"/>
            </c:ext>
          </c:extLst>
        </c:ser>
        <c:ser>
          <c:idx val="0"/>
          <c:order val="1"/>
          <c:tx>
            <c:strRef>
              <c:f>'strict channel'!$A$1:$C$1</c:f>
              <c:strCache>
                <c:ptCount val="1"/>
                <c:pt idx="0">
                  <c:v>Aggregate+Greedy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val>
            <c:numRef>
              <c:f>'strict channel'!$C$2:$C$18</c:f>
              <c:numCache>
                <c:formatCode>0.0%</c:formatCode>
                <c:ptCount val="17"/>
                <c:pt idx="0">
                  <c:v>0</c:v>
                </c:pt>
                <c:pt idx="1">
                  <c:v>3.6098310291858678E-2</c:v>
                </c:pt>
                <c:pt idx="2">
                  <c:v>0</c:v>
                </c:pt>
                <c:pt idx="3">
                  <c:v>4.758107389686337E-2</c:v>
                </c:pt>
                <c:pt idx="4">
                  <c:v>8.1632653061224483E-2</c:v>
                </c:pt>
                <c:pt idx="5">
                  <c:v>1.7142857142857144E-2</c:v>
                </c:pt>
                <c:pt idx="6">
                  <c:v>3.6336485813837729E-3</c:v>
                </c:pt>
                <c:pt idx="7">
                  <c:v>4.2628205128205129E-2</c:v>
                </c:pt>
                <c:pt idx="8">
                  <c:v>3.2612712490761274E-2</c:v>
                </c:pt>
                <c:pt idx="9">
                  <c:v>6.854156296665008E-2</c:v>
                </c:pt>
                <c:pt idx="10">
                  <c:v>0.11898430178069354</c:v>
                </c:pt>
                <c:pt idx="11">
                  <c:v>0.14696395392047565</c:v>
                </c:pt>
                <c:pt idx="12">
                  <c:v>0.14141113892365456</c:v>
                </c:pt>
                <c:pt idx="13">
                  <c:v>0.12412588652482269</c:v>
                </c:pt>
                <c:pt idx="14">
                  <c:v>0.12166943521594685</c:v>
                </c:pt>
                <c:pt idx="15">
                  <c:v>5.0576288659793814E-2</c:v>
                </c:pt>
                <c:pt idx="16">
                  <c:v>8.5621600621600624E-2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4-854C-9FA8-DF05ECAC2860}"/>
            </c:ext>
          </c:extLst>
        </c:ser>
        <c:ser>
          <c:idx val="2"/>
          <c:order val="2"/>
          <c:tx>
            <c:strRef>
              <c:f>'strict channel'!$I$1:$K$1</c:f>
              <c:strCache>
                <c:ptCount val="1"/>
                <c:pt idx="0">
                  <c:v>Relax+Greedy</c:v>
                </c:pt>
              </c:strCache>
            </c:strRef>
          </c:tx>
          <c:spPr>
            <a:solidFill>
              <a:srgbClr val="FFC102"/>
            </a:solidFill>
            <a:ln>
              <a:noFill/>
            </a:ln>
            <a:effectLst/>
          </c:spPr>
          <c:invertIfNegative val="0"/>
          <c:val>
            <c:numRef>
              <c:f>'strict channel'!$K$2:$K$18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7.6583210603829157E-4</c:v>
                </c:pt>
                <c:pt idx="6">
                  <c:v>0</c:v>
                </c:pt>
                <c:pt idx="7">
                  <c:v>0</c:v>
                </c:pt>
                <c:pt idx="8">
                  <c:v>5.5432372505543242E-3</c:v>
                </c:pt>
                <c:pt idx="9">
                  <c:v>1.1033681765389082E-2</c:v>
                </c:pt>
                <c:pt idx="10">
                  <c:v>0</c:v>
                </c:pt>
                <c:pt idx="11">
                  <c:v>6.9119286510590855E-3</c:v>
                </c:pt>
                <c:pt idx="12">
                  <c:v>5.6320400500625787E-4</c:v>
                </c:pt>
                <c:pt idx="13">
                  <c:v>2.8368794326241134E-4</c:v>
                </c:pt>
                <c:pt idx="14">
                  <c:v>1.4742524916943522E-3</c:v>
                </c:pt>
                <c:pt idx="15">
                  <c:v>0</c:v>
                </c:pt>
                <c:pt idx="16">
                  <c:v>5.1800051800051804E-4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54-854C-9FA8-DF05ECAC2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5935375"/>
        <c:axId val="1895933711"/>
      </c:barChart>
      <c:catAx>
        <c:axId val="18959353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895933711"/>
        <c:crosses val="autoZero"/>
        <c:auto val="1"/>
        <c:lblAlgn val="ctr"/>
        <c:lblOffset val="100"/>
        <c:noMultiLvlLbl val="0"/>
      </c:catAx>
      <c:valAx>
        <c:axId val="189593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89593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'strict channel'!$E$1:$G$1</c:f>
              <c:strCache>
                <c:ptCount val="1"/>
                <c:pt idx="0">
                  <c:v>Basic Greedy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numRef>
              <c:f>'strict channel'!$A$19:$A$46</c:f>
              <c:numCache>
                <c:formatCode>General</c:formatCode>
                <c:ptCount val="2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</c:numCache>
            </c:numRef>
          </c:cat>
          <c:val>
            <c:numRef>
              <c:f>'strict channel'!$G$19:$G$46</c:f>
              <c:numCache>
                <c:formatCode>0.0%</c:formatCode>
                <c:ptCount val="28"/>
                <c:pt idx="0">
                  <c:v>0.18823443756825628</c:v>
                </c:pt>
                <c:pt idx="1">
                  <c:v>0.26659848204368752</c:v>
                </c:pt>
                <c:pt idx="2">
                  <c:v>0.41602224584039355</c:v>
                </c:pt>
                <c:pt idx="3">
                  <c:v>0.56829931294553704</c:v>
                </c:pt>
                <c:pt idx="4">
                  <c:v>0.47937633285856013</c:v>
                </c:pt>
                <c:pt idx="5">
                  <c:v>0.35037556081576843</c:v>
                </c:pt>
                <c:pt idx="6">
                  <c:v>0.4672013038980305</c:v>
                </c:pt>
                <c:pt idx="7">
                  <c:v>0.4361371937563856</c:v>
                </c:pt>
                <c:pt idx="8">
                  <c:v>0.4025143880544752</c:v>
                </c:pt>
                <c:pt idx="9">
                  <c:v>0.451815337428849</c:v>
                </c:pt>
                <c:pt idx="10">
                  <c:v>0.40373210493223644</c:v>
                </c:pt>
                <c:pt idx="11">
                  <c:v>0.38760775520340113</c:v>
                </c:pt>
                <c:pt idx="12">
                  <c:v>0.54512294807994055</c:v>
                </c:pt>
                <c:pt idx="13">
                  <c:v>0.20929913924722857</c:v>
                </c:pt>
                <c:pt idx="14">
                  <c:v>0.42619431544573011</c:v>
                </c:pt>
                <c:pt idx="15">
                  <c:v>0.23322588080825843</c:v>
                </c:pt>
                <c:pt idx="16">
                  <c:v>0.25175855288900606</c:v>
                </c:pt>
                <c:pt idx="17">
                  <c:v>0.25918540055525019</c:v>
                </c:pt>
                <c:pt idx="18">
                  <c:v>0.44387207993962685</c:v>
                </c:pt>
                <c:pt idx="19">
                  <c:v>0.44800335194816238</c:v>
                </c:pt>
                <c:pt idx="20">
                  <c:v>0.38104955013444791</c:v>
                </c:pt>
                <c:pt idx="21">
                  <c:v>0.20476316424388413</c:v>
                </c:pt>
                <c:pt idx="22">
                  <c:v>0.17113654495068334</c:v>
                </c:pt>
                <c:pt idx="23">
                  <c:v>0.3401208055094882</c:v>
                </c:pt>
                <c:pt idx="24">
                  <c:v>0.29207343392051488</c:v>
                </c:pt>
                <c:pt idx="25">
                  <c:v>0.29191628056255703</c:v>
                </c:pt>
                <c:pt idx="26">
                  <c:v>0.37033155084666863</c:v>
                </c:pt>
                <c:pt idx="27">
                  <c:v>0.52305509489619395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D6-4A49-A5D8-216090C97745}"/>
            </c:ext>
          </c:extLst>
        </c:ser>
        <c:ser>
          <c:idx val="0"/>
          <c:order val="1"/>
          <c:tx>
            <c:strRef>
              <c:f>'strict channel'!$A$1:$C$1</c:f>
              <c:strCache>
                <c:ptCount val="1"/>
                <c:pt idx="0">
                  <c:v>Aggregate+Greedy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cat>
            <c:numRef>
              <c:f>'strict channel'!$A$19:$A$46</c:f>
              <c:numCache>
                <c:formatCode>General</c:formatCode>
                <c:ptCount val="2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</c:numCache>
            </c:numRef>
          </c:cat>
          <c:val>
            <c:numRef>
              <c:f>'strict channel'!$C$19:$C$46</c:f>
              <c:numCache>
                <c:formatCode>0.0%</c:formatCode>
                <c:ptCount val="28"/>
                <c:pt idx="0">
                  <c:v>0.10525560351552343</c:v>
                </c:pt>
                <c:pt idx="1">
                  <c:v>0.10727508330248056</c:v>
                </c:pt>
                <c:pt idx="2">
                  <c:v>6.1454720739024964E-2</c:v>
                </c:pt>
                <c:pt idx="3">
                  <c:v>6.1152636738890959E-2</c:v>
                </c:pt>
                <c:pt idx="4">
                  <c:v>5.6746249768906083E-2</c:v>
                </c:pt>
                <c:pt idx="5">
                  <c:v>0.11914073032261653</c:v>
                </c:pt>
                <c:pt idx="6">
                  <c:v>4.7842126837266498E-2</c:v>
                </c:pt>
                <c:pt idx="7">
                  <c:v>0.14354737926473884</c:v>
                </c:pt>
                <c:pt idx="8">
                  <c:v>0.11147304376893077</c:v>
                </c:pt>
                <c:pt idx="9">
                  <c:v>6.928407170574917E-2</c:v>
                </c:pt>
                <c:pt idx="10">
                  <c:v>0.13566570746596543</c:v>
                </c:pt>
                <c:pt idx="11">
                  <c:v>5.0376914516441433E-2</c:v>
                </c:pt>
                <c:pt idx="12">
                  <c:v>6.6880368988717631E-2</c:v>
                </c:pt>
                <c:pt idx="13">
                  <c:v>8.4443165977031845E-2</c:v>
                </c:pt>
                <c:pt idx="14">
                  <c:v>3.9451474538658111E-2</c:v>
                </c:pt>
                <c:pt idx="15">
                  <c:v>7.4947247928898508E-2</c:v>
                </c:pt>
                <c:pt idx="16">
                  <c:v>0.10761940929141713</c:v>
                </c:pt>
                <c:pt idx="17">
                  <c:v>8.5283061160062373E-2</c:v>
                </c:pt>
                <c:pt idx="18">
                  <c:v>9.6819929349237249E-2</c:v>
                </c:pt>
                <c:pt idx="19">
                  <c:v>7.900422856258138E-2</c:v>
                </c:pt>
                <c:pt idx="20">
                  <c:v>7.2615525069536127E-2</c:v>
                </c:pt>
                <c:pt idx="21">
                  <c:v>9.5677297746248974E-2</c:v>
                </c:pt>
                <c:pt idx="22">
                  <c:v>0.17033591029572154</c:v>
                </c:pt>
                <c:pt idx="23">
                  <c:v>0.13163459668615074</c:v>
                </c:pt>
                <c:pt idx="24">
                  <c:v>0.12257501684480773</c:v>
                </c:pt>
                <c:pt idx="25">
                  <c:v>0.11231338426822614</c:v>
                </c:pt>
                <c:pt idx="26">
                  <c:v>9.8033637732355697E-2</c:v>
                </c:pt>
                <c:pt idx="27">
                  <c:v>0.1017248772600066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6-4A49-A5D8-216090C97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1058863"/>
        <c:axId val="2001070095"/>
      </c:barChart>
      <c:catAx>
        <c:axId val="200105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001070095"/>
        <c:crosses val="autoZero"/>
        <c:auto val="1"/>
        <c:lblAlgn val="ctr"/>
        <c:lblOffset val="100"/>
        <c:noMultiLvlLbl val="0"/>
      </c:catAx>
      <c:valAx>
        <c:axId val="200107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00105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66675</xdr:colOff>
      <xdr:row>14</xdr:row>
      <xdr:rowOff>100013</xdr:rowOff>
    </xdr:from>
    <xdr:to>
      <xdr:col>27</xdr:col>
      <xdr:colOff>219075</xdr:colOff>
      <xdr:row>28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B2FE7B-4425-4197-AB58-2159C541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406400</xdr:colOff>
      <xdr:row>33</xdr:row>
      <xdr:rowOff>0</xdr:rowOff>
    </xdr:from>
    <xdr:to>
      <xdr:col>31</xdr:col>
      <xdr:colOff>139700</xdr:colOff>
      <xdr:row>47</xdr:row>
      <xdr:rowOff>71438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737769-C9F7-E54E-86E6-DF7827695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295275</xdr:colOff>
      <xdr:row>2</xdr:row>
      <xdr:rowOff>4762</xdr:rowOff>
    </xdr:from>
    <xdr:to>
      <xdr:col>24</xdr:col>
      <xdr:colOff>180975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07B913-7006-11EB-1AD6-B5E5E5FF9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295274</xdr:colOff>
      <xdr:row>18</xdr:row>
      <xdr:rowOff>52387</xdr:rowOff>
    </xdr:from>
    <xdr:to>
      <xdr:col>24</xdr:col>
      <xdr:colOff>219075</xdr:colOff>
      <xdr:row>35</xdr:row>
      <xdr:rowOff>57151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F5E8A9-E20E-42A7-BFAE-A8B6ADEEC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323849</xdr:colOff>
      <xdr:row>36</xdr:row>
      <xdr:rowOff>114300</xdr:rowOff>
    </xdr:from>
    <xdr:to>
      <xdr:col>25</xdr:col>
      <xdr:colOff>85724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8542BF-D6C7-42D8-B985-4E7ACBBC3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2</xdr:row>
      <xdr:rowOff>0</xdr:rowOff>
    </xdr:from>
    <xdr:to>
      <xdr:col>40</xdr:col>
      <xdr:colOff>215900</xdr:colOff>
      <xdr:row>17</xdr:row>
      <xdr:rowOff>61913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4CC1B6-85AF-534D-9D9C-1D564FEF4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19</xdr:row>
      <xdr:rowOff>0</xdr:rowOff>
    </xdr:from>
    <xdr:to>
      <xdr:col>35</xdr:col>
      <xdr:colOff>254000</xdr:colOff>
      <xdr:row>36</xdr:row>
      <xdr:rowOff>4764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385E38-3C1B-894C-A0C0-5C755BB3C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292100</xdr:colOff>
      <xdr:row>36</xdr:row>
      <xdr:rowOff>165100</xdr:rowOff>
    </xdr:from>
    <xdr:to>
      <xdr:col>37</xdr:col>
      <xdr:colOff>53975</xdr:colOff>
      <xdr:row>52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F9AE7C-9605-F64C-B14C-C8A05527A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647700</xdr:colOff>
      <xdr:row>1</xdr:row>
      <xdr:rowOff>98425</xdr:rowOff>
    </xdr:from>
    <xdr:to>
      <xdr:col>29</xdr:col>
      <xdr:colOff>328612</xdr:colOff>
      <xdr:row>17</xdr:row>
      <xdr:rowOff>74612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81DCA5-5F3A-430F-ADBC-70BD68E57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414337</xdr:colOff>
      <xdr:row>18</xdr:row>
      <xdr:rowOff>127000</xdr:rowOff>
    </xdr:from>
    <xdr:to>
      <xdr:col>30</xdr:col>
      <xdr:colOff>533400</xdr:colOff>
      <xdr:row>33</xdr:row>
      <xdr:rowOff>136525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6B72A6-0BD7-4E61-8674-AE5FCE361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0</xdr:colOff>
      <xdr:row>1</xdr:row>
      <xdr:rowOff>0</xdr:rowOff>
    </xdr:from>
    <xdr:to>
      <xdr:col>39</xdr:col>
      <xdr:colOff>354012</xdr:colOff>
      <xdr:row>16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81ABE4-2FF4-4447-A8AD-B2B9F5662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20</xdr:row>
      <xdr:rowOff>0</xdr:rowOff>
    </xdr:from>
    <xdr:to>
      <xdr:col>43</xdr:col>
      <xdr:colOff>119063</xdr:colOff>
      <xdr:row>35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69555C-3053-4D48-AB31-D8EEA68BF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1E84-D452-44EC-9AC7-099D3C0C767A}">
  <dimension ref="B1:R47"/>
  <sheetViews>
    <sheetView zoomScale="113" workbookViewId="0">
      <pane ySplit="1" topLeftCell="A2" activePane="bottomLeft" state="frozen"/>
      <selection pane="bottomLeft" activeCell="G17" sqref="G17"/>
    </sheetView>
  </sheetViews>
  <sheetFormatPr baseColWidth="10" defaultColWidth="8.83203125" defaultRowHeight="15" x14ac:dyDescent="0.2"/>
  <cols>
    <col min="3" max="3" width="10" bestFit="1" customWidth="1"/>
    <col min="4" max="4" width="10" customWidth="1"/>
    <col min="5" max="5" width="3" customWidth="1"/>
    <col min="6" max="8" width="10" customWidth="1"/>
    <col min="9" max="9" width="3.1640625" customWidth="1"/>
    <col min="11" max="11" width="10" bestFit="1" customWidth="1"/>
    <col min="12" max="12" width="15.5" customWidth="1"/>
    <col min="13" max="13" width="3.1640625" customWidth="1"/>
    <col min="15" max="15" width="18.6640625" customWidth="1"/>
    <col min="16" max="16" width="3.1640625" customWidth="1"/>
    <col min="18" max="18" width="11" bestFit="1" customWidth="1"/>
    <col min="19" max="19" width="11.6640625" bestFit="1" customWidth="1"/>
  </cols>
  <sheetData>
    <row r="1" spans="2:18" x14ac:dyDescent="0.2">
      <c r="B1" s="57" t="s">
        <v>6</v>
      </c>
      <c r="C1" s="57"/>
      <c r="D1" s="57"/>
      <c r="F1" s="57" t="s">
        <v>2</v>
      </c>
      <c r="G1" s="57"/>
      <c r="H1" s="57"/>
      <c r="J1" s="57" t="s">
        <v>5</v>
      </c>
      <c r="K1" s="57"/>
      <c r="L1" s="57"/>
      <c r="N1" s="57" t="s">
        <v>0</v>
      </c>
      <c r="O1" s="57"/>
      <c r="Q1" s="57"/>
      <c r="R1" s="57"/>
    </row>
    <row r="2" spans="2:18" x14ac:dyDescent="0.2">
      <c r="B2">
        <v>1</v>
      </c>
      <c r="C2">
        <v>450</v>
      </c>
      <c r="D2" s="2">
        <f t="shared" ref="D2:D18" si="0">(O2-C2)/O2</f>
        <v>0</v>
      </c>
      <c r="E2" s="1"/>
      <c r="F2">
        <v>1</v>
      </c>
      <c r="G2">
        <v>450</v>
      </c>
      <c r="H2" s="2">
        <f t="shared" ref="H2:H18" si="1">(O2-G2)/O2</f>
        <v>0</v>
      </c>
      <c r="I2" s="1"/>
      <c r="J2">
        <v>1</v>
      </c>
      <c r="K2">
        <v>450</v>
      </c>
      <c r="L2" s="2">
        <f t="shared" ref="L2:L18" si="2">(O2-K2)/O2</f>
        <v>0</v>
      </c>
      <c r="M2" s="1"/>
      <c r="N2">
        <v>1</v>
      </c>
      <c r="O2">
        <v>450</v>
      </c>
      <c r="P2" s="1"/>
    </row>
    <row r="3" spans="2:18" x14ac:dyDescent="0.2">
      <c r="B3">
        <v>2</v>
      </c>
      <c r="C3">
        <v>13083</v>
      </c>
      <c r="D3" s="2">
        <f t="shared" si="0"/>
        <v>0</v>
      </c>
      <c r="E3" s="1"/>
      <c r="F3">
        <v>2</v>
      </c>
      <c r="G3">
        <v>13083</v>
      </c>
      <c r="H3" s="2">
        <f t="shared" si="1"/>
        <v>0</v>
      </c>
      <c r="I3" s="1"/>
      <c r="J3">
        <v>2</v>
      </c>
      <c r="K3">
        <v>13083</v>
      </c>
      <c r="L3" s="2">
        <f t="shared" si="2"/>
        <v>0</v>
      </c>
      <c r="M3" s="1"/>
      <c r="N3">
        <v>2</v>
      </c>
      <c r="O3">
        <v>13083</v>
      </c>
      <c r="P3" s="1"/>
    </row>
    <row r="4" spans="2:18" x14ac:dyDescent="0.2">
      <c r="B4">
        <v>3</v>
      </c>
      <c r="C4">
        <v>12180</v>
      </c>
      <c r="D4" s="2">
        <f t="shared" si="0"/>
        <v>0</v>
      </c>
      <c r="E4" s="1"/>
      <c r="F4">
        <v>3</v>
      </c>
      <c r="G4">
        <v>11892</v>
      </c>
      <c r="H4" s="2">
        <f t="shared" si="1"/>
        <v>2.3645320197044337E-2</v>
      </c>
      <c r="I4" s="1"/>
      <c r="J4">
        <v>3</v>
      </c>
      <c r="K4">
        <v>12180</v>
      </c>
      <c r="L4" s="2">
        <f t="shared" si="2"/>
        <v>0</v>
      </c>
      <c r="M4" s="1"/>
      <c r="N4">
        <v>3</v>
      </c>
      <c r="O4">
        <v>12180</v>
      </c>
      <c r="P4" s="1"/>
    </row>
    <row r="5" spans="2:18" x14ac:dyDescent="0.2">
      <c r="B5">
        <v>4</v>
      </c>
      <c r="C5">
        <v>63096</v>
      </c>
      <c r="D5" s="2">
        <f t="shared" si="0"/>
        <v>0</v>
      </c>
      <c r="E5" s="1"/>
      <c r="F5">
        <v>4</v>
      </c>
      <c r="G5">
        <v>63096</v>
      </c>
      <c r="H5" s="2">
        <f t="shared" si="1"/>
        <v>0</v>
      </c>
      <c r="I5" s="1"/>
      <c r="J5">
        <v>4</v>
      </c>
      <c r="K5">
        <v>63096</v>
      </c>
      <c r="L5" s="2">
        <f t="shared" si="2"/>
        <v>0</v>
      </c>
      <c r="M5" s="1"/>
      <c r="N5">
        <v>4</v>
      </c>
      <c r="O5">
        <v>63096</v>
      </c>
      <c r="P5" s="1"/>
    </row>
    <row r="6" spans="2:18" x14ac:dyDescent="0.2">
      <c r="B6">
        <v>5</v>
      </c>
      <c r="C6">
        <v>69978</v>
      </c>
      <c r="D6" s="2">
        <f t="shared" si="0"/>
        <v>0</v>
      </c>
      <c r="E6" s="1"/>
      <c r="F6">
        <v>5</v>
      </c>
      <c r="G6">
        <v>64710</v>
      </c>
      <c r="H6" s="2">
        <f t="shared" si="1"/>
        <v>7.5280802537940492E-2</v>
      </c>
      <c r="I6" s="1"/>
      <c r="J6">
        <v>5</v>
      </c>
      <c r="K6">
        <v>69978</v>
      </c>
      <c r="L6" s="2">
        <f t="shared" si="2"/>
        <v>0</v>
      </c>
      <c r="M6" s="1"/>
      <c r="N6">
        <v>5</v>
      </c>
      <c r="O6">
        <v>69978</v>
      </c>
      <c r="P6" s="1"/>
    </row>
    <row r="7" spans="2:18" x14ac:dyDescent="0.2">
      <c r="B7">
        <v>6</v>
      </c>
      <c r="C7">
        <v>215581</v>
      </c>
      <c r="D7" s="2">
        <f t="shared" si="0"/>
        <v>0</v>
      </c>
      <c r="E7" s="1"/>
      <c r="F7">
        <v>6</v>
      </c>
      <c r="G7">
        <v>186598</v>
      </c>
      <c r="H7" s="2">
        <f t="shared" si="1"/>
        <v>0.1344413468719414</v>
      </c>
      <c r="I7" s="1"/>
      <c r="J7">
        <v>6</v>
      </c>
      <c r="K7">
        <v>215581</v>
      </c>
      <c r="L7" s="2">
        <f t="shared" si="2"/>
        <v>0</v>
      </c>
      <c r="M7" s="1"/>
      <c r="N7">
        <v>6</v>
      </c>
      <c r="O7">
        <v>215581</v>
      </c>
      <c r="P7" s="1"/>
    </row>
    <row r="8" spans="2:18" x14ac:dyDescent="0.2">
      <c r="B8">
        <v>7</v>
      </c>
      <c r="C8">
        <v>74664</v>
      </c>
      <c r="D8" s="2">
        <f t="shared" si="0"/>
        <v>0</v>
      </c>
      <c r="E8" s="1"/>
      <c r="F8">
        <v>7</v>
      </c>
      <c r="G8">
        <v>53481</v>
      </c>
      <c r="H8" s="2">
        <f t="shared" si="1"/>
        <v>0.28371102539376408</v>
      </c>
      <c r="I8" s="1"/>
      <c r="J8">
        <v>7</v>
      </c>
      <c r="K8">
        <v>74664</v>
      </c>
      <c r="L8" s="2">
        <f t="shared" si="2"/>
        <v>0</v>
      </c>
      <c r="M8" s="1"/>
      <c r="N8">
        <v>7</v>
      </c>
      <c r="O8">
        <v>74664</v>
      </c>
      <c r="P8" s="1"/>
    </row>
    <row r="9" spans="2:18" x14ac:dyDescent="0.2">
      <c r="B9">
        <v>8</v>
      </c>
      <c r="C9">
        <v>340171</v>
      </c>
      <c r="D9" s="2">
        <f t="shared" si="0"/>
        <v>4.3785323136270107E-3</v>
      </c>
      <c r="E9" s="1"/>
      <c r="F9">
        <v>8</v>
      </c>
      <c r="G9">
        <v>324253</v>
      </c>
      <c r="H9" s="2">
        <f t="shared" si="1"/>
        <v>5.0967755153409608E-2</v>
      </c>
      <c r="I9" s="1"/>
      <c r="J9">
        <v>8</v>
      </c>
      <c r="K9">
        <v>341667</v>
      </c>
      <c r="L9" s="2">
        <f t="shared" si="2"/>
        <v>0</v>
      </c>
      <c r="M9" s="1"/>
      <c r="N9">
        <v>8</v>
      </c>
      <c r="O9">
        <v>341667</v>
      </c>
      <c r="P9" s="1"/>
    </row>
    <row r="10" spans="2:18" x14ac:dyDescent="0.2">
      <c r="B10">
        <v>9</v>
      </c>
      <c r="C10">
        <v>697042</v>
      </c>
      <c r="D10" s="2">
        <f t="shared" si="0"/>
        <v>1.2011067077146373E-2</v>
      </c>
      <c r="E10" s="1"/>
      <c r="F10">
        <v>9</v>
      </c>
      <c r="G10">
        <v>658443</v>
      </c>
      <c r="H10" s="2">
        <f t="shared" si="1"/>
        <v>6.6721378395387207E-2</v>
      </c>
      <c r="I10" s="1"/>
      <c r="J10">
        <v>9</v>
      </c>
      <c r="K10">
        <v>704460</v>
      </c>
      <c r="L10" s="2">
        <f t="shared" si="2"/>
        <v>1.496776827173303E-3</v>
      </c>
      <c r="M10" s="1"/>
      <c r="N10">
        <v>9</v>
      </c>
      <c r="O10">
        <v>705516</v>
      </c>
      <c r="P10" s="1"/>
    </row>
    <row r="11" spans="2:18" x14ac:dyDescent="0.2">
      <c r="B11">
        <v>10</v>
      </c>
      <c r="C11">
        <v>1672414</v>
      </c>
      <c r="D11" s="2">
        <f t="shared" si="0"/>
        <v>2.6780451704922463E-4</v>
      </c>
      <c r="E11" s="1"/>
      <c r="F11">
        <v>10</v>
      </c>
      <c r="G11">
        <v>1444858</v>
      </c>
      <c r="H11" s="2">
        <f t="shared" si="1"/>
        <v>0.13629576139573976</v>
      </c>
      <c r="I11" s="1"/>
      <c r="J11">
        <v>10</v>
      </c>
      <c r="K11">
        <v>1672762</v>
      </c>
      <c r="L11" s="2">
        <f t="shared" si="2"/>
        <v>5.9777793984201927E-5</v>
      </c>
      <c r="M11" s="1"/>
      <c r="N11">
        <v>10</v>
      </c>
      <c r="O11">
        <v>1672862</v>
      </c>
      <c r="P11" s="1"/>
    </row>
    <row r="12" spans="2:18" x14ac:dyDescent="0.2">
      <c r="B12">
        <v>11</v>
      </c>
      <c r="C12">
        <v>1158970</v>
      </c>
      <c r="D12" s="2">
        <f t="shared" si="0"/>
        <v>1.7880428510153774E-3</v>
      </c>
      <c r="E12" s="1"/>
      <c r="F12">
        <v>11</v>
      </c>
      <c r="G12">
        <v>858146</v>
      </c>
      <c r="H12" s="2">
        <f t="shared" si="1"/>
        <v>0.26088544295402594</v>
      </c>
      <c r="I12" s="1"/>
      <c r="J12">
        <v>11</v>
      </c>
      <c r="K12">
        <v>1160295</v>
      </c>
      <c r="L12" s="2">
        <f t="shared" si="2"/>
        <v>6.4683053040103498E-4</v>
      </c>
      <c r="M12" s="1"/>
      <c r="N12">
        <v>11</v>
      </c>
      <c r="O12">
        <v>1161046</v>
      </c>
      <c r="P12" s="1"/>
    </row>
    <row r="13" spans="2:18" x14ac:dyDescent="0.2">
      <c r="B13">
        <v>12</v>
      </c>
      <c r="C13">
        <v>1968454</v>
      </c>
      <c r="D13" s="2">
        <f t="shared" si="0"/>
        <v>7.0048528506714289E-3</v>
      </c>
      <c r="E13" s="1"/>
      <c r="F13">
        <v>12</v>
      </c>
      <c r="G13">
        <v>1729604</v>
      </c>
      <c r="H13" s="2">
        <f t="shared" si="1"/>
        <v>0.12749376998900289</v>
      </c>
      <c r="I13" s="1"/>
      <c r="J13">
        <v>12</v>
      </c>
      <c r="K13">
        <v>1978269</v>
      </c>
      <c r="L13" s="2">
        <f t="shared" si="2"/>
        <v>2.0536335845515907E-3</v>
      </c>
      <c r="M13" s="1"/>
      <c r="N13">
        <v>12</v>
      </c>
      <c r="O13">
        <v>1982340</v>
      </c>
      <c r="P13" s="1"/>
    </row>
    <row r="14" spans="2:18" x14ac:dyDescent="0.2">
      <c r="B14">
        <v>13</v>
      </c>
      <c r="C14">
        <v>4230527</v>
      </c>
      <c r="D14" s="2">
        <f t="shared" si="0"/>
        <v>3.3302997199070928E-3</v>
      </c>
      <c r="E14" s="1"/>
      <c r="F14">
        <v>13</v>
      </c>
      <c r="G14">
        <v>4099795</v>
      </c>
      <c r="H14" s="2">
        <f t="shared" si="1"/>
        <v>3.4129446790004292E-2</v>
      </c>
      <c r="I14" s="1"/>
      <c r="J14">
        <v>13</v>
      </c>
      <c r="K14">
        <v>4244663</v>
      </c>
      <c r="L14" s="2">
        <f t="shared" si="2"/>
        <v>0</v>
      </c>
      <c r="M14" s="1"/>
      <c r="N14">
        <v>13</v>
      </c>
      <c r="O14">
        <v>4244663</v>
      </c>
      <c r="P14" s="1"/>
    </row>
    <row r="15" spans="2:18" x14ac:dyDescent="0.2">
      <c r="B15">
        <v>14</v>
      </c>
      <c r="C15">
        <v>6314464</v>
      </c>
      <c r="D15" s="2">
        <f t="shared" si="0"/>
        <v>9.9865792015252051E-3</v>
      </c>
      <c r="E15" s="1"/>
      <c r="F15">
        <v>14</v>
      </c>
      <c r="G15">
        <v>5498050</v>
      </c>
      <c r="H15" s="2">
        <f t="shared" si="1"/>
        <v>0.13798807179500044</v>
      </c>
      <c r="I15" s="1"/>
      <c r="J15">
        <v>14</v>
      </c>
      <c r="K15">
        <v>6373050</v>
      </c>
      <c r="L15" s="2">
        <f t="shared" si="2"/>
        <v>8.0117149773602421E-4</v>
      </c>
      <c r="M15" s="1"/>
      <c r="N15">
        <v>14</v>
      </c>
      <c r="O15">
        <v>6378160</v>
      </c>
      <c r="P15" s="1"/>
    </row>
    <row r="16" spans="2:18" x14ac:dyDescent="0.2">
      <c r="B16">
        <v>15</v>
      </c>
      <c r="C16">
        <v>4565882</v>
      </c>
      <c r="D16" s="2">
        <f t="shared" si="0"/>
        <v>0</v>
      </c>
      <c r="E16" s="1"/>
      <c r="F16">
        <v>15</v>
      </c>
      <c r="G16">
        <v>2760287</v>
      </c>
      <c r="H16" s="2">
        <f t="shared" si="1"/>
        <v>0.39545371518580635</v>
      </c>
      <c r="I16" s="1"/>
      <c r="J16">
        <v>15</v>
      </c>
      <c r="K16">
        <v>4565882</v>
      </c>
      <c r="L16" s="2">
        <f t="shared" si="2"/>
        <v>0</v>
      </c>
      <c r="M16" s="1"/>
      <c r="N16">
        <v>15</v>
      </c>
      <c r="O16">
        <v>4565882</v>
      </c>
      <c r="P16" s="1"/>
    </row>
    <row r="17" spans="2:16" x14ac:dyDescent="0.2">
      <c r="B17">
        <v>16</v>
      </c>
      <c r="C17">
        <v>14674342</v>
      </c>
      <c r="D17" s="2">
        <f t="shared" si="0"/>
        <v>9.4619358472460384E-3</v>
      </c>
      <c r="E17" s="1"/>
      <c r="F17">
        <v>16</v>
      </c>
      <c r="G17">
        <v>8143356</v>
      </c>
      <c r="H17" s="2">
        <f t="shared" si="1"/>
        <v>0.45031238280076108</v>
      </c>
      <c r="I17" s="1"/>
      <c r="J17">
        <v>16</v>
      </c>
      <c r="K17">
        <v>14801318</v>
      </c>
      <c r="L17" s="2">
        <f t="shared" si="2"/>
        <v>8.9088296910948695E-4</v>
      </c>
      <c r="M17" s="1"/>
      <c r="N17">
        <v>16</v>
      </c>
      <c r="O17">
        <v>14814516</v>
      </c>
      <c r="P17" s="1"/>
    </row>
    <row r="18" spans="2:16" x14ac:dyDescent="0.2">
      <c r="B18">
        <v>17</v>
      </c>
      <c r="C18">
        <v>10806986</v>
      </c>
      <c r="D18" s="2">
        <f t="shared" si="0"/>
        <v>2.4411588167370997E-2</v>
      </c>
      <c r="E18" s="1"/>
      <c r="F18">
        <v>17</v>
      </c>
      <c r="G18">
        <v>7101562</v>
      </c>
      <c r="H18" s="2">
        <f t="shared" si="1"/>
        <v>0.35891453980684823</v>
      </c>
      <c r="I18" s="1"/>
      <c r="J18">
        <v>17</v>
      </c>
      <c r="K18">
        <v>11077403</v>
      </c>
      <c r="L18" s="2">
        <f t="shared" si="2"/>
        <v>0</v>
      </c>
      <c r="M18" s="1"/>
      <c r="N18">
        <v>17</v>
      </c>
      <c r="O18">
        <v>11077403</v>
      </c>
      <c r="P18" s="1"/>
    </row>
    <row r="19" spans="2:16" x14ac:dyDescent="0.2">
      <c r="B19">
        <v>18</v>
      </c>
      <c r="C19">
        <v>31474422</v>
      </c>
      <c r="D19" s="2">
        <f t="shared" ref="D19:D46" si="3">(O19-C19)/O19</f>
        <v>1.7674511538955571E-3</v>
      </c>
      <c r="E19" s="1"/>
      <c r="F19">
        <v>18</v>
      </c>
      <c r="G19">
        <v>13934374</v>
      </c>
      <c r="H19" s="2">
        <f t="shared" ref="H19:H46" si="4">(O19-G19)/O19</f>
        <v>0.55806191851291542</v>
      </c>
      <c r="I19" s="1"/>
      <c r="J19">
        <v>18</v>
      </c>
      <c r="K19">
        <v>31504601</v>
      </c>
      <c r="L19" s="2">
        <f t="shared" ref="L19:L46" si="5">(O19-K19)/O19</f>
        <v>8.1030378859599467E-4</v>
      </c>
      <c r="M19" s="1"/>
      <c r="N19">
        <v>18</v>
      </c>
      <c r="O19">
        <v>31530150</v>
      </c>
      <c r="P19" s="1"/>
    </row>
    <row r="20" spans="2:16" x14ac:dyDescent="0.2">
      <c r="B20">
        <v>19</v>
      </c>
      <c r="C20">
        <v>39480612</v>
      </c>
      <c r="D20" s="2">
        <f t="shared" si="3"/>
        <v>5.059977850075296E-3</v>
      </c>
      <c r="E20" s="1"/>
      <c r="F20">
        <v>19</v>
      </c>
      <c r="G20">
        <v>18034319</v>
      </c>
      <c r="H20" s="2">
        <f t="shared" si="4"/>
        <v>0.54552209714178679</v>
      </c>
      <c r="I20" s="1"/>
      <c r="J20">
        <v>19</v>
      </c>
      <c r="K20">
        <v>39681399</v>
      </c>
      <c r="L20" s="2">
        <f t="shared" si="5"/>
        <v>0</v>
      </c>
      <c r="M20" s="1"/>
      <c r="N20">
        <v>19</v>
      </c>
      <c r="O20">
        <v>39681399</v>
      </c>
      <c r="P20" s="1"/>
    </row>
    <row r="21" spans="2:16" x14ac:dyDescent="0.2">
      <c r="B21">
        <v>20</v>
      </c>
      <c r="C21">
        <v>32620251</v>
      </c>
      <c r="D21" s="2">
        <f t="shared" si="3"/>
        <v>4.3268107575586186E-3</v>
      </c>
      <c r="E21" s="1"/>
      <c r="F21">
        <v>20</v>
      </c>
      <c r="G21">
        <v>17587374</v>
      </c>
      <c r="H21" s="2">
        <f t="shared" si="4"/>
        <v>0.46317774314552046</v>
      </c>
      <c r="I21" s="1"/>
      <c r="J21">
        <v>20</v>
      </c>
      <c r="K21">
        <v>32752578</v>
      </c>
      <c r="L21" s="2">
        <f t="shared" si="5"/>
        <v>2.8777236656387891E-4</v>
      </c>
      <c r="M21" s="1"/>
      <c r="N21">
        <v>20</v>
      </c>
      <c r="O21">
        <v>32762006</v>
      </c>
      <c r="P21" s="1"/>
    </row>
    <row r="22" spans="2:16" x14ac:dyDescent="0.2">
      <c r="B22">
        <v>21</v>
      </c>
      <c r="C22">
        <v>20071024</v>
      </c>
      <c r="D22" s="2">
        <f t="shared" si="3"/>
        <v>9.985173718267501E-3</v>
      </c>
      <c r="E22" s="1"/>
      <c r="F22">
        <v>21</v>
      </c>
      <c r="G22">
        <v>10148224</v>
      </c>
      <c r="H22" s="2">
        <f t="shared" si="4"/>
        <v>0.49943300250011619</v>
      </c>
      <c r="I22" s="1"/>
      <c r="J22">
        <v>21</v>
      </c>
      <c r="K22">
        <v>20269630</v>
      </c>
      <c r="L22" s="2">
        <f t="shared" si="5"/>
        <v>1.8881830618141217E-4</v>
      </c>
      <c r="M22" s="1"/>
      <c r="N22">
        <v>21</v>
      </c>
      <c r="O22">
        <v>20273458</v>
      </c>
      <c r="P22" s="1"/>
    </row>
    <row r="23" spans="2:16" x14ac:dyDescent="0.2">
      <c r="B23">
        <v>22</v>
      </c>
      <c r="C23">
        <v>22794559</v>
      </c>
      <c r="D23" s="2">
        <f t="shared" si="3"/>
        <v>3.6874548820565161E-3</v>
      </c>
      <c r="E23" s="1"/>
      <c r="F23">
        <v>22</v>
      </c>
      <c r="G23">
        <v>13342090</v>
      </c>
      <c r="H23" s="2">
        <f t="shared" si="4"/>
        <v>0.41683927093774165</v>
      </c>
      <c r="I23" s="1"/>
      <c r="J23">
        <v>22</v>
      </c>
      <c r="K23">
        <v>22875153</v>
      </c>
      <c r="L23" s="2">
        <f t="shared" si="5"/>
        <v>1.6482418491359121E-4</v>
      </c>
      <c r="M23" s="1"/>
      <c r="N23">
        <v>22</v>
      </c>
      <c r="O23">
        <v>22878924</v>
      </c>
      <c r="P23" s="1"/>
    </row>
    <row r="24" spans="2:16" x14ac:dyDescent="0.2">
      <c r="B24">
        <v>23</v>
      </c>
      <c r="C24">
        <v>25368004</v>
      </c>
      <c r="D24" s="2">
        <f t="shared" si="3"/>
        <v>3.5530821581509645E-3</v>
      </c>
      <c r="E24" s="1"/>
      <c r="F24">
        <v>23</v>
      </c>
      <c r="G24">
        <v>10199224</v>
      </c>
      <c r="H24" s="2">
        <f t="shared" si="4"/>
        <v>0.59937780996965251</v>
      </c>
      <c r="I24" s="1"/>
      <c r="J24">
        <v>23</v>
      </c>
      <c r="K24">
        <v>25415801</v>
      </c>
      <c r="L24" s="2">
        <f t="shared" si="5"/>
        <v>1.6756315975121827E-3</v>
      </c>
      <c r="M24" s="1"/>
      <c r="N24">
        <v>23</v>
      </c>
      <c r="O24">
        <v>25458460</v>
      </c>
      <c r="P24" s="1"/>
    </row>
    <row r="25" spans="2:16" x14ac:dyDescent="0.2">
      <c r="B25">
        <v>24</v>
      </c>
      <c r="C25">
        <v>23009762</v>
      </c>
      <c r="D25" s="2">
        <f t="shared" si="3"/>
        <v>6.3342206314960332E-3</v>
      </c>
      <c r="E25" s="1"/>
      <c r="F25">
        <v>24</v>
      </c>
      <c r="G25">
        <v>14411726</v>
      </c>
      <c r="H25" s="2">
        <f t="shared" si="4"/>
        <v>0.37763637243030451</v>
      </c>
      <c r="I25" s="1"/>
      <c r="J25">
        <v>24</v>
      </c>
      <c r="K25">
        <v>23150846</v>
      </c>
      <c r="L25" s="2">
        <f t="shared" si="5"/>
        <v>2.4157426616526546E-4</v>
      </c>
      <c r="M25" s="1"/>
      <c r="N25">
        <v>24</v>
      </c>
      <c r="O25">
        <v>23156440</v>
      </c>
      <c r="P25" s="1"/>
    </row>
    <row r="26" spans="2:16" x14ac:dyDescent="0.2">
      <c r="B26">
        <v>25</v>
      </c>
      <c r="C26">
        <v>60263438</v>
      </c>
      <c r="D26" s="2">
        <f t="shared" si="3"/>
        <v>8.2205204649327297E-3</v>
      </c>
      <c r="E26" s="1"/>
      <c r="F26">
        <v>25</v>
      </c>
      <c r="G26">
        <v>34825988</v>
      </c>
      <c r="H26" s="2">
        <f t="shared" si="4"/>
        <v>0.4268547995397392</v>
      </c>
      <c r="I26" s="1"/>
      <c r="J26">
        <v>25</v>
      </c>
      <c r="K26">
        <v>60733548</v>
      </c>
      <c r="L26" s="2">
        <f t="shared" si="5"/>
        <v>4.8373234600346287E-4</v>
      </c>
      <c r="M26" s="1"/>
      <c r="N26">
        <v>25</v>
      </c>
      <c r="O26">
        <v>60762941</v>
      </c>
      <c r="P26" s="1"/>
    </row>
    <row r="27" spans="2:16" x14ac:dyDescent="0.2">
      <c r="B27">
        <v>26</v>
      </c>
      <c r="C27">
        <v>27832153</v>
      </c>
      <c r="D27" s="2">
        <f t="shared" si="3"/>
        <v>8.960751579068435E-3</v>
      </c>
      <c r="E27" s="1"/>
      <c r="F27">
        <v>26</v>
      </c>
      <c r="G27">
        <v>23881648</v>
      </c>
      <c r="H27" s="2">
        <f t="shared" si="4"/>
        <v>0.14962919020410517</v>
      </c>
      <c r="I27" s="1"/>
      <c r="J27">
        <v>26</v>
      </c>
      <c r="K27">
        <v>28078753</v>
      </c>
      <c r="L27" s="2">
        <f t="shared" si="5"/>
        <v>1.7989015377367846E-4</v>
      </c>
      <c r="M27" s="1"/>
      <c r="N27">
        <v>26</v>
      </c>
      <c r="O27">
        <v>28083805</v>
      </c>
      <c r="P27" s="1"/>
    </row>
    <row r="28" spans="2:16" x14ac:dyDescent="0.2">
      <c r="B28">
        <v>27</v>
      </c>
      <c r="C28">
        <v>73482005</v>
      </c>
      <c r="D28" s="2">
        <f t="shared" si="3"/>
        <v>1.3522826958099309E-3</v>
      </c>
      <c r="E28" s="1"/>
      <c r="F28">
        <v>27</v>
      </c>
      <c r="G28">
        <v>45563644</v>
      </c>
      <c r="H28" s="2">
        <f t="shared" si="4"/>
        <v>0.38077316925877625</v>
      </c>
      <c r="I28" s="1"/>
      <c r="J28">
        <v>27</v>
      </c>
      <c r="K28">
        <v>73573307</v>
      </c>
      <c r="L28" s="2">
        <f t="shared" si="5"/>
        <v>1.1145463341142723E-4</v>
      </c>
      <c r="M28" s="1"/>
      <c r="N28">
        <v>27</v>
      </c>
      <c r="O28">
        <v>73581508</v>
      </c>
      <c r="P28" s="1"/>
    </row>
    <row r="29" spans="2:16" x14ac:dyDescent="0.2">
      <c r="B29">
        <v>28</v>
      </c>
      <c r="C29">
        <v>53546726</v>
      </c>
      <c r="D29" s="2">
        <f t="shared" si="3"/>
        <v>9.3578394399626841E-3</v>
      </c>
      <c r="E29" s="1"/>
      <c r="F29">
        <v>28</v>
      </c>
      <c r="G29">
        <v>33718914</v>
      </c>
      <c r="H29" s="2">
        <f t="shared" si="4"/>
        <v>0.37618262941607128</v>
      </c>
      <c r="I29" s="1"/>
      <c r="J29">
        <v>28</v>
      </c>
      <c r="K29">
        <v>53940525</v>
      </c>
      <c r="L29" s="2">
        <f t="shared" si="5"/>
        <v>2.0723540082972234E-3</v>
      </c>
      <c r="M29" s="1"/>
      <c r="N29">
        <v>28</v>
      </c>
      <c r="O29">
        <v>54052541</v>
      </c>
      <c r="P29" s="1"/>
    </row>
    <row r="30" spans="2:16" x14ac:dyDescent="0.2">
      <c r="B30">
        <v>29</v>
      </c>
      <c r="C30">
        <v>46337615</v>
      </c>
      <c r="D30" s="2">
        <f t="shared" si="3"/>
        <v>5.3790640963800804E-3</v>
      </c>
      <c r="E30" s="1"/>
      <c r="F30">
        <v>29</v>
      </c>
      <c r="G30">
        <v>27347055</v>
      </c>
      <c r="H30" s="2">
        <f t="shared" si="4"/>
        <v>0.41300488947677239</v>
      </c>
      <c r="I30" s="1"/>
      <c r="J30">
        <v>29</v>
      </c>
      <c r="K30">
        <v>46583768</v>
      </c>
      <c r="L30" s="2">
        <f t="shared" si="5"/>
        <v>9.5474787014810785E-5</v>
      </c>
      <c r="M30" s="1"/>
      <c r="N30">
        <v>29</v>
      </c>
      <c r="O30">
        <v>46588216</v>
      </c>
      <c r="P30" s="1"/>
    </row>
    <row r="31" spans="2:16" x14ac:dyDescent="0.2">
      <c r="B31">
        <v>30</v>
      </c>
      <c r="C31">
        <v>47154546</v>
      </c>
      <c r="D31" s="2">
        <f t="shared" si="3"/>
        <v>4.7336748311323186E-4</v>
      </c>
      <c r="E31" s="1"/>
      <c r="F31">
        <v>30</v>
      </c>
      <c r="G31">
        <v>18911956</v>
      </c>
      <c r="H31" s="2">
        <f t="shared" si="4"/>
        <v>0.59912658908883287</v>
      </c>
      <c r="I31" s="1"/>
      <c r="J31">
        <v>30</v>
      </c>
      <c r="K31">
        <v>47160669</v>
      </c>
      <c r="L31" s="2">
        <f t="shared" si="5"/>
        <v>3.4357932714411496E-4</v>
      </c>
      <c r="M31" s="1"/>
      <c r="N31">
        <v>30</v>
      </c>
      <c r="O31">
        <v>47176878</v>
      </c>
      <c r="P31" s="1"/>
    </row>
    <row r="32" spans="2:16" x14ac:dyDescent="0.2">
      <c r="B32">
        <v>31</v>
      </c>
      <c r="C32">
        <v>67532818</v>
      </c>
      <c r="D32" s="2">
        <f t="shared" si="3"/>
        <v>4.7849968454489258E-3</v>
      </c>
      <c r="E32" s="1"/>
      <c r="F32">
        <v>31</v>
      </c>
      <c r="G32">
        <v>36980108</v>
      </c>
      <c r="H32" s="2">
        <f t="shared" si="4"/>
        <v>0.45503298411335896</v>
      </c>
      <c r="I32" s="1"/>
      <c r="J32">
        <v>31</v>
      </c>
      <c r="K32">
        <v>67854016</v>
      </c>
      <c r="L32" s="2">
        <f t="shared" si="5"/>
        <v>5.1578663740063813E-5</v>
      </c>
      <c r="M32" s="1"/>
      <c r="N32">
        <v>31</v>
      </c>
      <c r="O32">
        <v>67857516</v>
      </c>
      <c r="P32" s="1"/>
    </row>
    <row r="33" spans="2:16" x14ac:dyDescent="0.2">
      <c r="B33">
        <v>32</v>
      </c>
      <c r="C33">
        <v>66138554</v>
      </c>
      <c r="D33" s="2">
        <f t="shared" si="3"/>
        <v>2.5331932279985019E-2</v>
      </c>
      <c r="E33" s="1"/>
      <c r="F33">
        <v>32</v>
      </c>
      <c r="G33">
        <v>36980108</v>
      </c>
      <c r="H33" s="2">
        <f t="shared" si="4"/>
        <v>0.45503298411335896</v>
      </c>
      <c r="I33" s="1"/>
      <c r="J33">
        <v>32</v>
      </c>
      <c r="K33">
        <v>67794060</v>
      </c>
      <c r="L33" s="2">
        <f t="shared" si="5"/>
        <v>9.3513591036842553E-4</v>
      </c>
      <c r="M33" s="1"/>
      <c r="N33">
        <v>32</v>
      </c>
      <c r="O33">
        <v>67857516</v>
      </c>
      <c r="P33" s="1"/>
    </row>
    <row r="34" spans="2:16" x14ac:dyDescent="0.2">
      <c r="B34">
        <v>33</v>
      </c>
      <c r="C34">
        <v>27635106</v>
      </c>
      <c r="D34" s="2">
        <f t="shared" si="3"/>
        <v>9.8887496850716666E-3</v>
      </c>
      <c r="E34" s="1"/>
      <c r="F34">
        <v>33</v>
      </c>
      <c r="G34">
        <v>19023576</v>
      </c>
      <c r="H34" s="2">
        <f t="shared" si="4"/>
        <v>0.31842285610118293</v>
      </c>
      <c r="I34" s="1"/>
      <c r="J34">
        <v>33</v>
      </c>
      <c r="K34">
        <v>27911067</v>
      </c>
      <c r="L34" s="2">
        <f t="shared" si="5"/>
        <v>1.6122610951509205E-6</v>
      </c>
      <c r="M34" s="1"/>
      <c r="N34">
        <v>33</v>
      </c>
      <c r="O34">
        <v>27911112</v>
      </c>
      <c r="P34" s="1"/>
    </row>
    <row r="35" spans="2:16" x14ac:dyDescent="0.2">
      <c r="B35">
        <v>34</v>
      </c>
      <c r="C35">
        <v>103823588</v>
      </c>
      <c r="D35" s="2">
        <f t="shared" si="3"/>
        <v>2.2883646837367568E-2</v>
      </c>
      <c r="E35" s="1"/>
      <c r="F35">
        <v>34</v>
      </c>
      <c r="G35">
        <v>72487795</v>
      </c>
      <c r="H35" s="2">
        <f t="shared" si="4"/>
        <v>0.31779462390376551</v>
      </c>
      <c r="I35" s="1"/>
      <c r="J35">
        <v>34</v>
      </c>
      <c r="K35">
        <v>106137058</v>
      </c>
      <c r="L35" s="2">
        <f t="shared" si="5"/>
        <v>1.1108549978950655E-3</v>
      </c>
      <c r="M35" s="1"/>
      <c r="N35">
        <v>34</v>
      </c>
      <c r="O35">
        <v>106255092</v>
      </c>
      <c r="P35" s="1"/>
    </row>
    <row r="36" spans="2:16" x14ac:dyDescent="0.2">
      <c r="B36">
        <v>35</v>
      </c>
      <c r="C36">
        <v>99389936</v>
      </c>
      <c r="D36" s="2">
        <f t="shared" si="3"/>
        <v>2.5508681571410415E-3</v>
      </c>
      <c r="E36" s="1"/>
      <c r="F36">
        <v>35</v>
      </c>
      <c r="G36">
        <v>51076035</v>
      </c>
      <c r="H36" s="2">
        <f t="shared" si="4"/>
        <v>0.4874154384330675</v>
      </c>
      <c r="I36" s="1"/>
      <c r="J36">
        <v>35</v>
      </c>
      <c r="K36">
        <v>99625048</v>
      </c>
      <c r="L36" s="2">
        <f t="shared" si="5"/>
        <v>1.913509894688713E-4</v>
      </c>
      <c r="M36" s="1"/>
      <c r="N36">
        <v>35</v>
      </c>
      <c r="O36">
        <v>99644115</v>
      </c>
      <c r="P36" s="1"/>
    </row>
    <row r="37" spans="2:16" x14ac:dyDescent="0.2">
      <c r="B37">
        <v>36</v>
      </c>
      <c r="C37">
        <v>273290916</v>
      </c>
      <c r="D37" s="2">
        <f t="shared" si="3"/>
        <v>6.8662852322579982E-3</v>
      </c>
      <c r="E37" s="1"/>
      <c r="F37">
        <v>36</v>
      </c>
      <c r="G37">
        <v>142612939</v>
      </c>
      <c r="H37" s="2">
        <f t="shared" si="4"/>
        <v>0.48174743618988275</v>
      </c>
      <c r="I37" s="1"/>
      <c r="J37">
        <v>36</v>
      </c>
      <c r="K37">
        <v>274931733</v>
      </c>
      <c r="L37" s="2">
        <f t="shared" si="5"/>
        <v>9.035891195776117E-4</v>
      </c>
      <c r="M37" s="1"/>
      <c r="N37">
        <v>36</v>
      </c>
      <c r="O37">
        <v>275180383</v>
      </c>
      <c r="P37" s="1"/>
    </row>
    <row r="38" spans="2:16" x14ac:dyDescent="0.2">
      <c r="B38">
        <v>37</v>
      </c>
      <c r="C38">
        <v>240543768</v>
      </c>
      <c r="D38" s="2">
        <f t="shared" si="3"/>
        <v>8.967929313649807E-3</v>
      </c>
      <c r="E38" s="1"/>
      <c r="F38">
        <v>37</v>
      </c>
      <c r="G38">
        <v>119601127</v>
      </c>
      <c r="H38" s="2">
        <f t="shared" si="4"/>
        <v>0.50724746048198954</v>
      </c>
      <c r="I38" s="1"/>
      <c r="J38">
        <v>37</v>
      </c>
      <c r="K38">
        <v>242403333</v>
      </c>
      <c r="L38" s="2">
        <f t="shared" si="5"/>
        <v>1.3065853185484134E-3</v>
      </c>
      <c r="M38" s="1"/>
      <c r="N38">
        <v>37</v>
      </c>
      <c r="O38">
        <v>242720468</v>
      </c>
      <c r="P38" s="1"/>
    </row>
    <row r="39" spans="2:16" x14ac:dyDescent="0.2">
      <c r="B39">
        <v>38</v>
      </c>
      <c r="C39">
        <v>206766388</v>
      </c>
      <c r="D39" s="2">
        <f t="shared" si="3"/>
        <v>1.3721149575614117E-2</v>
      </c>
      <c r="E39" s="1"/>
      <c r="F39">
        <v>38</v>
      </c>
      <c r="G39">
        <v>109932242</v>
      </c>
      <c r="H39" s="2">
        <f t="shared" si="4"/>
        <v>0.4756215151162026</v>
      </c>
      <c r="I39" s="1"/>
      <c r="J39">
        <v>38</v>
      </c>
      <c r="K39">
        <v>209610441</v>
      </c>
      <c r="L39" s="2">
        <f t="shared" si="5"/>
        <v>1.5497302961755017E-4</v>
      </c>
      <c r="M39" s="1"/>
      <c r="N39">
        <v>38</v>
      </c>
      <c r="O39">
        <v>209642930</v>
      </c>
      <c r="P39" s="1"/>
    </row>
    <row r="40" spans="2:16" x14ac:dyDescent="0.2">
      <c r="B40">
        <v>39</v>
      </c>
      <c r="C40">
        <v>191590316</v>
      </c>
      <c r="D40" s="2">
        <f t="shared" si="3"/>
        <v>1.256883538074598E-2</v>
      </c>
      <c r="E40" s="1"/>
      <c r="F40">
        <v>39</v>
      </c>
      <c r="G40">
        <v>121542734</v>
      </c>
      <c r="H40" s="2">
        <f t="shared" si="4"/>
        <v>0.37358481425215562</v>
      </c>
      <c r="I40" s="1"/>
      <c r="J40">
        <v>39</v>
      </c>
      <c r="K40">
        <v>193836004</v>
      </c>
      <c r="L40" s="2">
        <f t="shared" si="5"/>
        <v>9.9485625952837418E-4</v>
      </c>
      <c r="M40" s="1"/>
      <c r="N40">
        <v>39</v>
      </c>
      <c r="O40">
        <v>194029035</v>
      </c>
      <c r="P40" s="1"/>
    </row>
    <row r="41" spans="2:16" x14ac:dyDescent="0.2">
      <c r="B41">
        <v>40</v>
      </c>
      <c r="C41">
        <v>203291594</v>
      </c>
      <c r="D41" s="2">
        <f t="shared" si="3"/>
        <v>4.8946083424890091E-4</v>
      </c>
      <c r="E41" s="1"/>
      <c r="F41">
        <v>40</v>
      </c>
      <c r="G41">
        <v>162989823</v>
      </c>
      <c r="H41" s="2">
        <f t="shared" si="4"/>
        <v>0.19863855332227687</v>
      </c>
      <c r="I41" s="1"/>
      <c r="J41">
        <v>40</v>
      </c>
      <c r="K41">
        <v>203292856</v>
      </c>
      <c r="L41" s="2">
        <f t="shared" si="5"/>
        <v>4.8325604104713585E-4</v>
      </c>
      <c r="M41" s="1"/>
      <c r="N41">
        <v>40</v>
      </c>
      <c r="O41">
        <v>203391146</v>
      </c>
      <c r="P41" s="1"/>
    </row>
    <row r="42" spans="2:16" x14ac:dyDescent="0.2">
      <c r="B42">
        <v>41</v>
      </c>
      <c r="C42">
        <v>216233108</v>
      </c>
      <c r="D42" s="2">
        <f t="shared" si="3"/>
        <v>4.2090536720447685E-4</v>
      </c>
      <c r="E42" s="1"/>
      <c r="F42">
        <v>41</v>
      </c>
      <c r="G42">
        <v>176543360</v>
      </c>
      <c r="H42" s="2">
        <f t="shared" si="4"/>
        <v>0.18389439256345663</v>
      </c>
      <c r="I42" s="1"/>
      <c r="J42">
        <v>41</v>
      </c>
      <c r="K42">
        <v>216233108</v>
      </c>
      <c r="L42" s="2">
        <f t="shared" si="5"/>
        <v>4.2090536720447685E-4</v>
      </c>
      <c r="M42" s="1"/>
      <c r="N42">
        <v>41</v>
      </c>
      <c r="O42">
        <v>216324160</v>
      </c>
      <c r="P42" s="1"/>
    </row>
    <row r="43" spans="2:16" x14ac:dyDescent="0.2">
      <c r="B43">
        <v>42</v>
      </c>
      <c r="C43">
        <v>223638473</v>
      </c>
      <c r="D43" s="2">
        <f t="shared" si="3"/>
        <v>4.7537186724332651E-4</v>
      </c>
      <c r="E43" s="1"/>
      <c r="F43">
        <v>42</v>
      </c>
      <c r="G43">
        <v>179442115</v>
      </c>
      <c r="H43" s="2">
        <f t="shared" si="4"/>
        <v>0.19800555396060873</v>
      </c>
      <c r="I43" s="1"/>
      <c r="J43">
        <v>42</v>
      </c>
      <c r="K43">
        <v>223638473</v>
      </c>
      <c r="L43" s="2">
        <f t="shared" si="5"/>
        <v>4.7537186724332651E-4</v>
      </c>
      <c r="M43" s="1"/>
      <c r="N43">
        <v>42</v>
      </c>
      <c r="O43">
        <v>223744835</v>
      </c>
      <c r="P43" s="1"/>
    </row>
    <row r="44" spans="2:16" x14ac:dyDescent="0.2">
      <c r="B44">
        <v>43</v>
      </c>
      <c r="C44">
        <v>241291365</v>
      </c>
      <c r="D44" s="2">
        <f t="shared" si="3"/>
        <v>8.5064113140855182E-3</v>
      </c>
      <c r="E44" s="1"/>
      <c r="F44">
        <v>43</v>
      </c>
      <c r="G44">
        <v>193451736</v>
      </c>
      <c r="H44" s="2">
        <f t="shared" si="4"/>
        <v>0.20508487336809539</v>
      </c>
      <c r="I44" s="1"/>
      <c r="J44">
        <v>43</v>
      </c>
      <c r="K44">
        <v>241291365</v>
      </c>
      <c r="L44" s="2">
        <f t="shared" si="5"/>
        <v>8.5064113140855182E-3</v>
      </c>
      <c r="M44" s="1"/>
      <c r="N44">
        <v>43</v>
      </c>
      <c r="O44">
        <v>243361498</v>
      </c>
      <c r="P44" s="1"/>
    </row>
    <row r="45" spans="2:16" x14ac:dyDescent="0.2">
      <c r="B45">
        <v>44</v>
      </c>
      <c r="C45">
        <v>252087912</v>
      </c>
      <c r="D45" s="2">
        <f t="shared" si="3"/>
        <v>4.328326348433372E-3</v>
      </c>
      <c r="E45" s="1"/>
      <c r="F45">
        <v>44</v>
      </c>
      <c r="G45">
        <v>202594307</v>
      </c>
      <c r="H45" s="2">
        <f t="shared" si="4"/>
        <v>0.19981322736740625</v>
      </c>
      <c r="I45" s="1"/>
      <c r="J45">
        <v>44</v>
      </c>
      <c r="K45">
        <v>252087912</v>
      </c>
      <c r="L45" s="2">
        <f t="shared" si="5"/>
        <v>4.328326348433372E-3</v>
      </c>
      <c r="M45" s="1"/>
      <c r="N45">
        <v>44</v>
      </c>
      <c r="O45">
        <v>253183774</v>
      </c>
      <c r="P45" s="1"/>
    </row>
    <row r="46" spans="2:16" x14ac:dyDescent="0.2">
      <c r="B46">
        <v>45</v>
      </c>
      <c r="C46">
        <v>272940000</v>
      </c>
      <c r="D46" s="2">
        <f t="shared" si="3"/>
        <v>1.9413400109481484E-3</v>
      </c>
      <c r="E46" s="1"/>
      <c r="F46">
        <v>45</v>
      </c>
      <c r="G46">
        <v>173694262</v>
      </c>
      <c r="H46" s="2">
        <f t="shared" si="4"/>
        <v>0.3648528527166876</v>
      </c>
      <c r="I46" s="1"/>
      <c r="J46">
        <v>45</v>
      </c>
      <c r="K46">
        <v>272940000</v>
      </c>
      <c r="L46" s="2">
        <f t="shared" si="5"/>
        <v>1.9413400109481484E-3</v>
      </c>
      <c r="M46" s="1"/>
      <c r="N46">
        <v>45</v>
      </c>
      <c r="O46">
        <v>273470900</v>
      </c>
      <c r="P46" s="1"/>
    </row>
    <row r="47" spans="2:16" x14ac:dyDescent="0.2">
      <c r="E47" s="1"/>
      <c r="I47" s="1"/>
      <c r="M47" s="1"/>
      <c r="P47" s="1"/>
    </row>
  </sheetData>
  <mergeCells count="5">
    <mergeCell ref="B1:D1"/>
    <mergeCell ref="F1:H1"/>
    <mergeCell ref="N1:O1"/>
    <mergeCell ref="Q1:R1"/>
    <mergeCell ref="J1:L1"/>
  </mergeCells>
  <pageMargins left="0.7" right="0.7" top="0.75" bottom="0.75" header="0.3" footer="0.3"/>
  <pageSetup orientation="portrait" r:id="rId1"/>
  <headerFooter>
    <oddHeader xml:space="preserve">&amp;R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5FBA-F597-4FCA-8E75-147FEE67A9C3}">
  <dimension ref="B3:M48"/>
  <sheetViews>
    <sheetView workbookViewId="0">
      <selection activeCell="E37" sqref="E37"/>
    </sheetView>
  </sheetViews>
  <sheetFormatPr baseColWidth="10" defaultColWidth="8.83203125" defaultRowHeight="15" x14ac:dyDescent="0.2"/>
  <cols>
    <col min="2" max="2" width="8.5" bestFit="1" customWidth="1"/>
    <col min="3" max="3" width="9.5" bestFit="1" customWidth="1"/>
    <col min="4" max="4" width="12.5" bestFit="1" customWidth="1"/>
    <col min="5" max="5" width="16.6640625" bestFit="1" customWidth="1"/>
    <col min="6" max="6" width="13.5" bestFit="1" customWidth="1"/>
    <col min="10" max="10" width="9.5" bestFit="1" customWidth="1"/>
    <col min="11" max="11" width="12.33203125" bestFit="1" customWidth="1"/>
    <col min="12" max="12" width="16.5" bestFit="1" customWidth="1"/>
    <col min="13" max="13" width="13.33203125" bestFit="1" customWidth="1"/>
  </cols>
  <sheetData>
    <row r="3" spans="2:13" x14ac:dyDescent="0.2">
      <c r="B3" t="s">
        <v>1</v>
      </c>
      <c r="C3" t="s">
        <v>7</v>
      </c>
      <c r="D3" t="s">
        <v>2</v>
      </c>
      <c r="E3" s="9" t="s">
        <v>6</v>
      </c>
      <c r="F3" s="9" t="s">
        <v>5</v>
      </c>
      <c r="I3" t="s">
        <v>1</v>
      </c>
      <c r="J3" t="s">
        <v>7</v>
      </c>
      <c r="K3" t="s">
        <v>2</v>
      </c>
      <c r="L3" t="s">
        <v>6</v>
      </c>
      <c r="M3" t="s">
        <v>5</v>
      </c>
    </row>
    <row r="4" spans="2:13" x14ac:dyDescent="0.2">
      <c r="B4">
        <v>1</v>
      </c>
      <c r="C4" s="4">
        <v>7.0000000000000007E-2</v>
      </c>
      <c r="D4" s="4">
        <v>0.02</v>
      </c>
      <c r="E4" s="4">
        <v>0.01</v>
      </c>
      <c r="F4" s="4">
        <v>0.09</v>
      </c>
      <c r="I4">
        <v>1</v>
      </c>
      <c r="J4" s="4">
        <v>0.1</v>
      </c>
      <c r="K4" s="4">
        <v>0.02</v>
      </c>
      <c r="L4" s="4">
        <v>0.01</v>
      </c>
      <c r="M4" s="4">
        <v>0.13</v>
      </c>
    </row>
    <row r="5" spans="2:13" x14ac:dyDescent="0.2">
      <c r="B5">
        <v>2</v>
      </c>
      <c r="C5" s="4">
        <v>1.08</v>
      </c>
      <c r="D5" s="4">
        <v>0.01</v>
      </c>
      <c r="E5" s="4">
        <v>0.01</v>
      </c>
      <c r="F5" s="4">
        <v>0.96</v>
      </c>
      <c r="I5">
        <v>2</v>
      </c>
      <c r="J5" s="4">
        <v>1.55</v>
      </c>
      <c r="K5" s="4">
        <v>0.01</v>
      </c>
      <c r="L5" s="4">
        <v>0.01</v>
      </c>
      <c r="M5" s="4">
        <v>1.58</v>
      </c>
    </row>
    <row r="6" spans="2:13" x14ac:dyDescent="0.2">
      <c r="B6">
        <v>3</v>
      </c>
      <c r="C6" s="4">
        <v>2.34</v>
      </c>
      <c r="D6" s="4">
        <v>0.1</v>
      </c>
      <c r="E6" s="4">
        <v>0.09</v>
      </c>
      <c r="F6" s="4">
        <v>2.14</v>
      </c>
      <c r="I6">
        <v>3</v>
      </c>
      <c r="J6" s="4">
        <v>3.51</v>
      </c>
      <c r="K6" s="4">
        <v>0.15</v>
      </c>
      <c r="L6" s="4">
        <v>0.09</v>
      </c>
      <c r="M6" s="4">
        <v>2.88</v>
      </c>
    </row>
    <row r="7" spans="2:13" x14ac:dyDescent="0.2">
      <c r="B7">
        <v>4</v>
      </c>
      <c r="C7" s="4">
        <v>4.01</v>
      </c>
      <c r="D7" s="4">
        <v>0.09</v>
      </c>
      <c r="E7" s="4">
        <v>0.1</v>
      </c>
      <c r="F7" s="4">
        <v>3.67</v>
      </c>
      <c r="I7">
        <v>4</v>
      </c>
      <c r="J7" s="4">
        <v>6.32</v>
      </c>
      <c r="K7" s="4">
        <v>7.0000000000000007E-2</v>
      </c>
      <c r="L7" s="4">
        <v>0.16</v>
      </c>
      <c r="M7" s="4">
        <v>5.09</v>
      </c>
    </row>
    <row r="8" spans="2:13" x14ac:dyDescent="0.2">
      <c r="B8">
        <v>5</v>
      </c>
      <c r="C8" s="4">
        <v>10.42</v>
      </c>
      <c r="D8" s="4">
        <v>0.36</v>
      </c>
      <c r="E8" s="4">
        <v>0.37</v>
      </c>
      <c r="F8" s="4">
        <v>11.05</v>
      </c>
      <c r="I8">
        <v>5</v>
      </c>
      <c r="J8" s="4">
        <v>12.26</v>
      </c>
      <c r="K8" s="4">
        <v>0.45</v>
      </c>
      <c r="L8" s="4">
        <v>0.61</v>
      </c>
      <c r="M8" s="4">
        <v>15.3</v>
      </c>
    </row>
    <row r="9" spans="2:13" x14ac:dyDescent="0.2">
      <c r="B9">
        <v>6</v>
      </c>
      <c r="C9" s="4">
        <v>18.23</v>
      </c>
      <c r="D9" s="4">
        <v>0.59</v>
      </c>
      <c r="E9" s="4">
        <v>0.75</v>
      </c>
      <c r="F9" s="4">
        <v>15.72</v>
      </c>
      <c r="I9">
        <v>6</v>
      </c>
      <c r="J9" s="4">
        <v>22.96</v>
      </c>
      <c r="K9" s="4">
        <v>0.62</v>
      </c>
      <c r="L9" s="4">
        <v>0.79</v>
      </c>
      <c r="M9" s="4">
        <v>16.739999999999998</v>
      </c>
    </row>
    <row r="10" spans="2:13" x14ac:dyDescent="0.2">
      <c r="B10">
        <v>7</v>
      </c>
      <c r="C10" s="4">
        <v>23.13</v>
      </c>
      <c r="D10" s="4">
        <v>1</v>
      </c>
      <c r="E10" s="4">
        <v>2.0099999999999998</v>
      </c>
      <c r="F10" s="4">
        <v>21.58</v>
      </c>
      <c r="I10">
        <v>7</v>
      </c>
      <c r="J10" s="4">
        <v>23.9</v>
      </c>
      <c r="K10" s="4">
        <v>1.55</v>
      </c>
      <c r="L10" s="4">
        <v>3.01</v>
      </c>
      <c r="M10" s="4">
        <v>27.34</v>
      </c>
    </row>
    <row r="11" spans="2:13" x14ac:dyDescent="0.2">
      <c r="B11">
        <v>8</v>
      </c>
      <c r="C11" s="4">
        <v>44.67</v>
      </c>
      <c r="D11" s="4">
        <v>1.91</v>
      </c>
      <c r="E11" s="4">
        <v>2.59</v>
      </c>
      <c r="F11" s="4">
        <v>38.44</v>
      </c>
      <c r="I11">
        <v>8</v>
      </c>
      <c r="J11" s="4">
        <v>63.76</v>
      </c>
      <c r="K11" s="4">
        <v>2.78</v>
      </c>
      <c r="L11" s="4">
        <v>2.69</v>
      </c>
      <c r="M11" s="4">
        <v>56.73</v>
      </c>
    </row>
    <row r="12" spans="2:13" x14ac:dyDescent="0.2">
      <c r="B12">
        <v>9</v>
      </c>
      <c r="C12" s="4">
        <v>94.8</v>
      </c>
      <c r="D12" s="4">
        <v>4.8</v>
      </c>
      <c r="E12" s="4">
        <v>6.06</v>
      </c>
      <c r="F12" s="4">
        <v>105.75</v>
      </c>
      <c r="I12">
        <v>9</v>
      </c>
      <c r="J12" s="4">
        <v>95.75</v>
      </c>
      <c r="K12" s="4">
        <v>7.73</v>
      </c>
      <c r="L12" s="4">
        <v>6.86</v>
      </c>
      <c r="M12" s="4">
        <v>106.88</v>
      </c>
    </row>
    <row r="13" spans="2:13" x14ac:dyDescent="0.2">
      <c r="B13">
        <v>10</v>
      </c>
      <c r="C13" s="4">
        <v>128.69999999999999</v>
      </c>
      <c r="D13" s="4">
        <v>5.27</v>
      </c>
      <c r="E13" s="4">
        <v>7.25</v>
      </c>
      <c r="F13" s="4">
        <v>145.21</v>
      </c>
      <c r="I13">
        <v>10</v>
      </c>
      <c r="J13" s="4">
        <v>123.14</v>
      </c>
      <c r="K13" s="4">
        <v>6.01</v>
      </c>
      <c r="L13" s="4">
        <v>6.9</v>
      </c>
      <c r="M13" s="4">
        <v>183.1</v>
      </c>
    </row>
    <row r="14" spans="2:13" x14ac:dyDescent="0.2">
      <c r="B14">
        <v>11</v>
      </c>
      <c r="C14" s="4">
        <v>223.15</v>
      </c>
      <c r="D14" s="4">
        <v>14.34</v>
      </c>
      <c r="E14" s="4">
        <v>11.68</v>
      </c>
      <c r="F14" s="4">
        <v>205.07</v>
      </c>
      <c r="I14">
        <v>11</v>
      </c>
      <c r="J14" s="4">
        <v>216.93</v>
      </c>
      <c r="K14" s="4">
        <v>23.09</v>
      </c>
      <c r="L14" s="4">
        <v>16.899999999999999</v>
      </c>
      <c r="M14" s="4">
        <v>219.84</v>
      </c>
    </row>
    <row r="15" spans="2:13" x14ac:dyDescent="0.2">
      <c r="B15">
        <v>12</v>
      </c>
      <c r="C15" s="4">
        <v>244.34</v>
      </c>
      <c r="D15" s="4">
        <v>17.21</v>
      </c>
      <c r="E15" s="4">
        <v>17.29</v>
      </c>
      <c r="F15" s="4">
        <v>246.77</v>
      </c>
      <c r="I15">
        <v>12</v>
      </c>
      <c r="J15" s="4">
        <v>326.14999999999998</v>
      </c>
      <c r="K15" s="4">
        <v>23.32</v>
      </c>
      <c r="L15" s="4">
        <v>14.66</v>
      </c>
      <c r="M15" s="4">
        <v>238.67</v>
      </c>
    </row>
    <row r="16" spans="2:13" x14ac:dyDescent="0.2">
      <c r="B16">
        <v>13</v>
      </c>
      <c r="C16" s="4">
        <v>465.31</v>
      </c>
      <c r="D16" s="4">
        <v>60.12</v>
      </c>
      <c r="E16" s="4">
        <v>58</v>
      </c>
      <c r="F16" s="4">
        <v>450.08</v>
      </c>
      <c r="I16">
        <v>13</v>
      </c>
      <c r="J16" s="4">
        <v>547.82000000000005</v>
      </c>
      <c r="K16" s="4">
        <v>72.66</v>
      </c>
      <c r="L16" s="4">
        <v>81.88</v>
      </c>
      <c r="M16" s="4">
        <v>476.17</v>
      </c>
    </row>
    <row r="17" spans="2:13" x14ac:dyDescent="0.2">
      <c r="B17">
        <v>14</v>
      </c>
      <c r="C17" s="4">
        <v>1721.69</v>
      </c>
      <c r="D17" s="4">
        <v>176.74</v>
      </c>
      <c r="E17" s="4">
        <v>134.6</v>
      </c>
      <c r="F17" s="4">
        <v>727.76</v>
      </c>
      <c r="I17">
        <v>14</v>
      </c>
      <c r="J17" s="4">
        <v>2062.34</v>
      </c>
      <c r="K17" s="4">
        <v>163.68</v>
      </c>
      <c r="L17" s="4">
        <v>193.59</v>
      </c>
      <c r="M17" s="4">
        <v>821.61</v>
      </c>
    </row>
    <row r="18" spans="2:13" x14ac:dyDescent="0.2">
      <c r="B18">
        <v>15</v>
      </c>
      <c r="C18" s="4">
        <v>2033.87</v>
      </c>
      <c r="D18" s="4">
        <v>233.67</v>
      </c>
      <c r="E18" s="4">
        <v>184.38</v>
      </c>
      <c r="F18" s="4">
        <v>1143.1600000000001</v>
      </c>
      <c r="I18">
        <v>15</v>
      </c>
      <c r="J18" s="4">
        <v>2337.4299999999998</v>
      </c>
      <c r="K18" s="4">
        <v>248.13</v>
      </c>
      <c r="L18" s="4">
        <v>190.68</v>
      </c>
      <c r="M18" s="4">
        <v>1174.75</v>
      </c>
    </row>
    <row r="19" spans="2:13" x14ac:dyDescent="0.2">
      <c r="B19">
        <v>16</v>
      </c>
      <c r="C19" s="4">
        <v>3348.65</v>
      </c>
      <c r="D19" s="4">
        <v>370.3</v>
      </c>
      <c r="E19" s="4">
        <v>384.43</v>
      </c>
      <c r="F19" s="4">
        <v>1389</v>
      </c>
      <c r="I19">
        <v>16</v>
      </c>
      <c r="J19" s="4">
        <v>3581.33</v>
      </c>
      <c r="K19" s="4">
        <v>390.01</v>
      </c>
      <c r="L19" s="4">
        <v>393.57</v>
      </c>
      <c r="M19" s="4">
        <v>1400.85</v>
      </c>
    </row>
    <row r="20" spans="2:13" x14ac:dyDescent="0.2">
      <c r="B20">
        <v>17</v>
      </c>
      <c r="C20" s="4">
        <v>4728.46</v>
      </c>
      <c r="D20" s="4">
        <v>563.04</v>
      </c>
      <c r="E20" s="4">
        <v>584.21</v>
      </c>
      <c r="F20" s="4">
        <v>1601.06</v>
      </c>
      <c r="I20">
        <v>17</v>
      </c>
      <c r="J20" s="4">
        <v>4757.93</v>
      </c>
      <c r="K20" s="4">
        <v>514.65</v>
      </c>
      <c r="L20" s="4">
        <v>597.01</v>
      </c>
      <c r="M20" s="4">
        <v>1667.61</v>
      </c>
    </row>
    <row r="21" spans="2:13" x14ac:dyDescent="0.2">
      <c r="B21">
        <v>18</v>
      </c>
      <c r="C21" s="4">
        <v>7368.02</v>
      </c>
      <c r="D21" s="4">
        <v>931.80206718750003</v>
      </c>
      <c r="E21" s="4">
        <v>794.05638114880014</v>
      </c>
      <c r="F21" s="4">
        <v>1842.0050000000001</v>
      </c>
      <c r="I21">
        <v>18</v>
      </c>
      <c r="J21" s="4">
        <v>7237.22</v>
      </c>
      <c r="K21" s="4">
        <v>820.95</v>
      </c>
      <c r="L21" s="4">
        <v>806.84</v>
      </c>
      <c r="M21" s="4"/>
    </row>
    <row r="22" spans="2:13" x14ac:dyDescent="0.2">
      <c r="B22">
        <v>19</v>
      </c>
      <c r="C22" s="4">
        <v>8126.41</v>
      </c>
      <c r="D22" s="4">
        <v>1062.0897210937501</v>
      </c>
      <c r="E22" s="4">
        <v>891.66883984500021</v>
      </c>
      <c r="F22" s="4">
        <v>2024.9307307152869</v>
      </c>
      <c r="I22">
        <v>19</v>
      </c>
      <c r="J22" s="4">
        <v>8230.33</v>
      </c>
      <c r="K22" s="4">
        <v>1146.81</v>
      </c>
      <c r="L22" s="4">
        <v>946.38</v>
      </c>
      <c r="M22" s="4"/>
    </row>
    <row r="23" spans="2:13" x14ac:dyDescent="0.2">
      <c r="B23">
        <v>20</v>
      </c>
      <c r="C23" s="4">
        <v>11567.48</v>
      </c>
      <c r="D23" s="4">
        <v>1341.1562531250001</v>
      </c>
      <c r="E23" s="4">
        <v>1014.0218313225001</v>
      </c>
      <c r="F23" s="4">
        <v>2885.6571383419987</v>
      </c>
      <c r="I23">
        <v>20</v>
      </c>
      <c r="J23" s="4">
        <v>11546.01</v>
      </c>
      <c r="K23" s="4">
        <v>1405.79</v>
      </c>
      <c r="L23" s="4">
        <v>1130.47</v>
      </c>
      <c r="M23" s="4"/>
    </row>
    <row r="24" spans="2:13" x14ac:dyDescent="0.2">
      <c r="B24">
        <v>21</v>
      </c>
      <c r="C24" s="4">
        <v>14750.15</v>
      </c>
      <c r="D24" s="4">
        <v>1617.73972265625</v>
      </c>
      <c r="E24" s="4">
        <v>1291.6182600300003</v>
      </c>
      <c r="F24" s="4">
        <v>3669.1710191069569</v>
      </c>
      <c r="I24">
        <v>21</v>
      </c>
      <c r="J24" s="4">
        <v>15387.76</v>
      </c>
      <c r="K24" s="4">
        <v>1716.53</v>
      </c>
      <c r="L24" s="4">
        <v>1214.83</v>
      </c>
      <c r="M24" s="4"/>
    </row>
    <row r="25" spans="2:13" x14ac:dyDescent="0.2">
      <c r="B25">
        <v>22</v>
      </c>
      <c r="C25" s="4">
        <v>16961.64</v>
      </c>
      <c r="D25" s="4">
        <v>2007.9907593750002</v>
      </c>
      <c r="E25" s="4">
        <v>1564.7980513375001</v>
      </c>
      <c r="F25" s="4">
        <v>4231.3501556824995</v>
      </c>
      <c r="I25">
        <v>22</v>
      </c>
      <c r="J25" s="4">
        <v>17285.5</v>
      </c>
      <c r="K25" s="4">
        <v>2198.0100000000002</v>
      </c>
      <c r="L25" s="4">
        <v>1589.85</v>
      </c>
      <c r="M25" s="4"/>
    </row>
    <row r="26" spans="2:13" x14ac:dyDescent="0.2">
      <c r="B26">
        <v>23</v>
      </c>
      <c r="C26" s="4">
        <v>20276.98</v>
      </c>
      <c r="D26" s="4">
        <v>2408.8491046875001</v>
      </c>
      <c r="E26" s="4">
        <v>1930.7685912900004</v>
      </c>
      <c r="F26" s="4">
        <v>5047.2647816942781</v>
      </c>
      <c r="I26">
        <v>23</v>
      </c>
      <c r="J26" s="4">
        <v>21152.79</v>
      </c>
      <c r="K26" s="4">
        <v>2662.03</v>
      </c>
      <c r="L26" s="4">
        <v>1943.48</v>
      </c>
      <c r="M26" s="4"/>
    </row>
    <row r="27" spans="2:13" x14ac:dyDescent="0.2">
      <c r="B27">
        <v>24</v>
      </c>
      <c r="C27" s="4">
        <v>20687.150000000001</v>
      </c>
      <c r="D27" s="4">
        <v>2781.7905820312503</v>
      </c>
      <c r="E27" s="4">
        <v>2315.6064114050005</v>
      </c>
      <c r="F27" s="4">
        <v>5146.4722056781966</v>
      </c>
      <c r="I27">
        <v>24</v>
      </c>
      <c r="J27" s="4">
        <v>22969.43</v>
      </c>
      <c r="K27" s="4">
        <v>2893.65</v>
      </c>
      <c r="L27" s="4">
        <v>2495.7199999999998</v>
      </c>
      <c r="M27" s="4"/>
    </row>
    <row r="28" spans="2:13" x14ac:dyDescent="0.2">
      <c r="B28">
        <v>25</v>
      </c>
      <c r="C28" s="4">
        <v>23317.34</v>
      </c>
      <c r="D28" s="4">
        <v>3053.0650640625004</v>
      </c>
      <c r="E28" s="4">
        <v>2650.788339587501</v>
      </c>
      <c r="F28" s="4">
        <v>5819.3675905747941</v>
      </c>
      <c r="I28">
        <v>25</v>
      </c>
      <c r="J28" s="4">
        <v>25207.07</v>
      </c>
      <c r="K28" s="4">
        <v>3058.61</v>
      </c>
      <c r="L28" s="4">
        <v>2908.53</v>
      </c>
      <c r="M28" s="4"/>
    </row>
    <row r="29" spans="2:13" x14ac:dyDescent="0.2">
      <c r="B29">
        <v>26</v>
      </c>
      <c r="C29" s="4">
        <v>27289.34</v>
      </c>
      <c r="D29" s="4">
        <v>3337.2335015625004</v>
      </c>
      <c r="E29" s="4">
        <v>2914.5250046150009</v>
      </c>
      <c r="F29" s="4">
        <v>6793.2155924263607</v>
      </c>
      <c r="I29">
        <v>26</v>
      </c>
      <c r="J29" s="4">
        <v>29762.09</v>
      </c>
      <c r="K29" s="4">
        <v>3471.28</v>
      </c>
      <c r="L29" s="4">
        <v>3239.02</v>
      </c>
      <c r="M29" s="4"/>
    </row>
    <row r="30" spans="2:13" x14ac:dyDescent="0.2">
      <c r="B30">
        <v>27</v>
      </c>
      <c r="C30" s="4">
        <v>29017.82</v>
      </c>
      <c r="D30" s="4">
        <v>3722.8431140624998</v>
      </c>
      <c r="E30" s="4">
        <v>3201.1962216150005</v>
      </c>
      <c r="F30" s="4">
        <v>7253.825624767549</v>
      </c>
      <c r="I30">
        <v>27</v>
      </c>
      <c r="J30" s="4">
        <v>31975.25</v>
      </c>
      <c r="K30" s="4">
        <v>3748.22</v>
      </c>
      <c r="L30" s="4">
        <v>3381.93</v>
      </c>
      <c r="M30" s="4"/>
    </row>
    <row r="31" spans="2:13" x14ac:dyDescent="0.2">
      <c r="B31">
        <v>28</v>
      </c>
      <c r="C31" s="4">
        <v>38582.65</v>
      </c>
      <c r="D31" s="4">
        <v>4306.7551523437505</v>
      </c>
      <c r="E31" s="4">
        <v>3558.9110338950004</v>
      </c>
      <c r="F31" s="4">
        <v>9607.4606073456634</v>
      </c>
      <c r="I31">
        <v>28</v>
      </c>
      <c r="J31" s="4">
        <v>39471.96</v>
      </c>
      <c r="K31" s="4">
        <v>4326.1400000000003</v>
      </c>
      <c r="L31" s="4">
        <v>3821.65</v>
      </c>
      <c r="M31" s="4"/>
    </row>
    <row r="32" spans="2:13" x14ac:dyDescent="0.2">
      <c r="B32">
        <v>29</v>
      </c>
      <c r="C32" s="4">
        <v>43735.08</v>
      </c>
      <c r="D32" s="4">
        <v>4848.2667843750005</v>
      </c>
      <c r="E32" s="4">
        <v>4159.957099462501</v>
      </c>
      <c r="F32" s="4">
        <v>10921.383821712852</v>
      </c>
      <c r="I32">
        <v>29</v>
      </c>
      <c r="J32" s="4">
        <v>43700.99</v>
      </c>
      <c r="K32" s="4">
        <v>4900.3599999999997</v>
      </c>
      <c r="L32" s="4">
        <v>4109.79</v>
      </c>
      <c r="M32" s="4"/>
    </row>
    <row r="33" spans="2:13" x14ac:dyDescent="0.2">
      <c r="B33">
        <v>30</v>
      </c>
      <c r="C33" s="4">
        <v>48914.34</v>
      </c>
      <c r="D33" s="4">
        <v>5267.0362359374994</v>
      </c>
      <c r="E33" s="4">
        <v>4685.5853211300009</v>
      </c>
      <c r="F33" s="4">
        <v>12174.277337814503</v>
      </c>
      <c r="I33">
        <v>30</v>
      </c>
      <c r="J33" s="4">
        <v>48200.15</v>
      </c>
      <c r="K33" s="4">
        <v>5119.2</v>
      </c>
      <c r="L33" s="4">
        <v>5086.95</v>
      </c>
      <c r="M33" s="4"/>
    </row>
    <row r="34" spans="2:13" x14ac:dyDescent="0.2">
      <c r="B34">
        <v>31</v>
      </c>
      <c r="C34" s="4">
        <v>49561.84</v>
      </c>
      <c r="D34" s="4">
        <v>6257.2583062499998</v>
      </c>
      <c r="E34" s="4">
        <v>5102.281727865</v>
      </c>
      <c r="F34" s="4">
        <v>12356.523658779492</v>
      </c>
      <c r="I34">
        <v>31</v>
      </c>
      <c r="J34" s="4">
        <v>49885.06</v>
      </c>
      <c r="K34" s="4">
        <v>6648.42</v>
      </c>
      <c r="L34" s="4">
        <v>5333.99</v>
      </c>
      <c r="M34" s="4"/>
    </row>
    <row r="35" spans="2:13" x14ac:dyDescent="0.2">
      <c r="B35">
        <v>32</v>
      </c>
      <c r="C35" s="4">
        <v>51034.43</v>
      </c>
      <c r="D35" s="4">
        <v>7009.4089757812508</v>
      </c>
      <c r="E35" s="4">
        <v>5988.4721597400003</v>
      </c>
      <c r="F35" s="4">
        <v>12727.011307630502</v>
      </c>
      <c r="I35">
        <v>32</v>
      </c>
      <c r="J35" s="4">
        <v>54684.07</v>
      </c>
      <c r="K35" s="4">
        <v>7592.48</v>
      </c>
      <c r="L35" s="4">
        <v>6070.86</v>
      </c>
      <c r="M35" s="4"/>
    </row>
    <row r="36" spans="2:13" x14ac:dyDescent="0.2">
      <c r="B36">
        <v>33</v>
      </c>
      <c r="C36" s="4">
        <v>57914.87</v>
      </c>
      <c r="D36" s="4">
        <v>7813.5257039062499</v>
      </c>
      <c r="E36" s="4">
        <v>6669.9844361675023</v>
      </c>
      <c r="F36" s="4">
        <v>14468.146111697635</v>
      </c>
      <c r="I36">
        <v>33</v>
      </c>
      <c r="J36" s="4">
        <v>56765.29</v>
      </c>
      <c r="K36" s="4">
        <v>7971.29</v>
      </c>
      <c r="L36" s="4">
        <v>6849.45</v>
      </c>
      <c r="M36" s="4"/>
    </row>
    <row r="37" spans="2:13" x14ac:dyDescent="0.2">
      <c r="B37">
        <v>34</v>
      </c>
      <c r="C37" s="4">
        <v>68891.39</v>
      </c>
      <c r="D37" s="4">
        <v>8411.0032007812497</v>
      </c>
      <c r="E37" s="4">
        <v>7443.9290367575004</v>
      </c>
      <c r="F37" s="4">
        <v>17178.907840725165</v>
      </c>
      <c r="I37">
        <v>34</v>
      </c>
      <c r="J37" s="4">
        <v>73035.67</v>
      </c>
      <c r="K37" s="4">
        <v>8257.25</v>
      </c>
      <c r="L37" s="4">
        <v>7988.46</v>
      </c>
      <c r="M37" s="4"/>
    </row>
    <row r="38" spans="2:13" x14ac:dyDescent="0.2">
      <c r="B38">
        <v>35</v>
      </c>
      <c r="C38" s="4">
        <v>76391.45</v>
      </c>
      <c r="D38" s="4">
        <v>9221.0740898437489</v>
      </c>
      <c r="E38" s="4">
        <v>8069.1040607275008</v>
      </c>
      <c r="F38" s="4">
        <v>19035.976528605661</v>
      </c>
      <c r="I38">
        <v>35</v>
      </c>
      <c r="J38" s="4">
        <v>82363.95</v>
      </c>
      <c r="K38" s="4">
        <v>9738.91</v>
      </c>
      <c r="L38" s="4">
        <v>8639.3700000000008</v>
      </c>
      <c r="M38" s="4"/>
    </row>
    <row r="39" spans="2:13" x14ac:dyDescent="0.2">
      <c r="B39">
        <v>36</v>
      </c>
      <c r="C39" s="4">
        <v>84451.18</v>
      </c>
      <c r="D39" s="4">
        <v>11020.523057812499</v>
      </c>
      <c r="E39" s="4">
        <v>8853.6393612624997</v>
      </c>
      <c r="F39" s="4">
        <v>21093.500583406789</v>
      </c>
      <c r="I39">
        <v>36</v>
      </c>
      <c r="J39" s="4">
        <v>92771.58</v>
      </c>
      <c r="K39" s="4">
        <v>11858.81</v>
      </c>
      <c r="L39" s="4">
        <v>9209.2800000000007</v>
      </c>
      <c r="M39" s="4"/>
    </row>
    <row r="40" spans="2:13" x14ac:dyDescent="0.2">
      <c r="B40">
        <v>37</v>
      </c>
      <c r="C40" s="4">
        <v>91784.36</v>
      </c>
      <c r="D40" s="4">
        <v>11828.990334375001</v>
      </c>
      <c r="E40" s="4">
        <v>10522.863881354999</v>
      </c>
      <c r="F40" s="4">
        <v>22945.505137387197</v>
      </c>
      <c r="I40">
        <v>37</v>
      </c>
      <c r="J40" s="4">
        <v>94578.85</v>
      </c>
      <c r="K40" s="4">
        <v>12023.54</v>
      </c>
      <c r="L40" s="4">
        <v>10806.42</v>
      </c>
      <c r="M40" s="4"/>
    </row>
    <row r="41" spans="2:13" x14ac:dyDescent="0.2">
      <c r="B41">
        <v>38</v>
      </c>
      <c r="C41" s="4">
        <v>99314.42</v>
      </c>
      <c r="D41" s="4">
        <v>12270.3495046875</v>
      </c>
      <c r="E41" s="4">
        <v>11304.546827210002</v>
      </c>
      <c r="F41" s="4">
        <v>24791.358062967796</v>
      </c>
      <c r="I41">
        <v>38</v>
      </c>
      <c r="J41" s="4">
        <v>103558.11</v>
      </c>
      <c r="K41" s="4">
        <v>12260.41</v>
      </c>
      <c r="L41" s="4">
        <v>12865.16</v>
      </c>
      <c r="M41" s="4"/>
    </row>
    <row r="42" spans="2:13" x14ac:dyDescent="0.2">
      <c r="B42">
        <v>39</v>
      </c>
      <c r="C42" s="4">
        <v>104934.71</v>
      </c>
      <c r="D42" s="4">
        <v>13185.356978906249</v>
      </c>
      <c r="E42" s="4">
        <v>11761.423695244999</v>
      </c>
      <c r="F42" s="4">
        <v>26109.414229394075</v>
      </c>
      <c r="I42">
        <v>39</v>
      </c>
      <c r="J42" s="4">
        <v>116711.76</v>
      </c>
      <c r="K42" s="4">
        <v>13711.77</v>
      </c>
      <c r="L42" s="4">
        <v>12139.41</v>
      </c>
      <c r="M42" s="4"/>
    </row>
    <row r="43" spans="2:13" x14ac:dyDescent="0.2">
      <c r="B43">
        <v>40</v>
      </c>
      <c r="C43" s="4">
        <v>110981.58</v>
      </c>
      <c r="D43" s="4">
        <v>13489.463620312501</v>
      </c>
      <c r="E43" s="4">
        <v>12623.219896997502</v>
      </c>
      <c r="F43" s="4">
        <v>27672.613090797113</v>
      </c>
      <c r="I43">
        <v>40</v>
      </c>
      <c r="J43" s="4">
        <v>134483.75</v>
      </c>
      <c r="K43" s="4">
        <v>14013.52</v>
      </c>
      <c r="L43" s="4">
        <v>13295.47</v>
      </c>
      <c r="M43" s="4"/>
    </row>
    <row r="44" spans="2:13" x14ac:dyDescent="0.2">
      <c r="B44">
        <v>41</v>
      </c>
      <c r="C44" s="4">
        <v>118392.34</v>
      </c>
      <c r="D44" s="4">
        <v>13929.676392187501</v>
      </c>
      <c r="E44" s="4">
        <v>12945.355310755001</v>
      </c>
      <c r="F44" s="4">
        <v>29455.238718951652</v>
      </c>
      <c r="I44">
        <v>41</v>
      </c>
      <c r="J44" s="4">
        <v>157718.39999999999</v>
      </c>
      <c r="K44" s="4">
        <v>14241.62</v>
      </c>
      <c r="L44" s="4">
        <v>14882.96</v>
      </c>
      <c r="M44" s="4"/>
    </row>
    <row r="45" spans="2:13" x14ac:dyDescent="0.2">
      <c r="B45">
        <v>42</v>
      </c>
      <c r="C45" s="4">
        <v>120934</v>
      </c>
      <c r="D45" s="4">
        <v>14446.100156250001</v>
      </c>
      <c r="E45" s="4">
        <v>13400.193073365004</v>
      </c>
      <c r="F45" s="4">
        <v>30130.370757749344</v>
      </c>
      <c r="I45">
        <v>42</v>
      </c>
      <c r="J45" s="4">
        <v>170387.49</v>
      </c>
      <c r="K45" s="4">
        <v>14894.78</v>
      </c>
      <c r="L45" s="4">
        <v>15845.25</v>
      </c>
      <c r="M45" s="4"/>
    </row>
    <row r="46" spans="2:13" x14ac:dyDescent="0.2">
      <c r="B46">
        <v>43</v>
      </c>
      <c r="C46" s="4">
        <v>121304.76</v>
      </c>
      <c r="D46" s="4">
        <v>15187.662928125001</v>
      </c>
      <c r="E46" s="4">
        <v>13881.197361500002</v>
      </c>
      <c r="F46" s="4">
        <v>30234.654924867787</v>
      </c>
      <c r="I46">
        <v>43</v>
      </c>
      <c r="J46" s="4">
        <v>171404.03</v>
      </c>
      <c r="K46" s="4">
        <v>15338.4</v>
      </c>
      <c r="L46" s="4">
        <v>15975.66</v>
      </c>
      <c r="M46" s="4"/>
    </row>
    <row r="47" spans="2:13" x14ac:dyDescent="0.2">
      <c r="B47">
        <v>44</v>
      </c>
      <c r="C47" s="4">
        <v>130217.09</v>
      </c>
      <c r="D47" s="4">
        <v>16257.30484921875</v>
      </c>
      <c r="E47" s="4">
        <v>14543.876884110001</v>
      </c>
      <c r="F47" s="4">
        <v>32471.31236248972</v>
      </c>
      <c r="I47">
        <v>44</v>
      </c>
      <c r="J47" s="4">
        <v>189661.66</v>
      </c>
      <c r="K47" s="4">
        <v>16377.33</v>
      </c>
      <c r="L47" s="4">
        <v>15849.97</v>
      </c>
      <c r="M47" s="4"/>
    </row>
    <row r="48" spans="2:13" x14ac:dyDescent="0.2">
      <c r="B48">
        <v>45</v>
      </c>
      <c r="C48" s="4">
        <v>133405.38</v>
      </c>
      <c r="D48" s="4">
        <v>17148.942323437499</v>
      </c>
      <c r="E48" s="4">
        <v>15571.331856552504</v>
      </c>
      <c r="F48" s="4">
        <v>33238.827580969257</v>
      </c>
      <c r="I48">
        <v>45</v>
      </c>
      <c r="J48" s="4">
        <v>194458.68</v>
      </c>
      <c r="K48" s="4">
        <v>17626.03</v>
      </c>
      <c r="L48" s="4">
        <v>16546.47</v>
      </c>
      <c r="M48" s="4"/>
    </row>
  </sheetData>
  <pageMargins left="0.7" right="0.7" top="0.75" bottom="0.75" header="0.3" footer="0.3"/>
  <pageSetup orientation="portrait" r:id="rId1"/>
  <headerFooter>
    <oddHeader xml:space="preserve">&amp;R
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6BF9-1A04-434C-AE1E-544544BF81F0}">
  <dimension ref="A1:S47"/>
  <sheetViews>
    <sheetView tabSelected="1" topLeftCell="U3" zoomScale="125" workbookViewId="0">
      <selection activeCell="AM38" sqref="AM38"/>
    </sheetView>
  </sheetViews>
  <sheetFormatPr baseColWidth="10" defaultColWidth="8.83203125" defaultRowHeight="15" x14ac:dyDescent="0.2"/>
  <cols>
    <col min="2" max="2" width="10" bestFit="1" customWidth="1"/>
    <col min="4" max="4" width="4.1640625" customWidth="1"/>
    <col min="6" max="6" width="10" bestFit="1" customWidth="1"/>
    <col min="8" max="8" width="4.1640625" customWidth="1"/>
    <col min="10" max="10" width="13.6640625" bestFit="1" customWidth="1"/>
    <col min="12" max="12" width="4.1640625" customWidth="1"/>
    <col min="14" max="14" width="10.6640625" customWidth="1"/>
    <col min="15" max="15" width="4.1640625" customWidth="1"/>
    <col min="17" max="17" width="12.1640625" bestFit="1" customWidth="1"/>
    <col min="19" max="19" width="14.33203125" bestFit="1" customWidth="1"/>
  </cols>
  <sheetData>
    <row r="1" spans="1:19" x14ac:dyDescent="0.2">
      <c r="A1" s="57" t="s">
        <v>6</v>
      </c>
      <c r="B1" s="57"/>
      <c r="C1" s="57"/>
      <c r="E1" s="57" t="s">
        <v>2</v>
      </c>
      <c r="F1" s="57"/>
      <c r="G1" s="57"/>
      <c r="I1" s="57" t="s">
        <v>5</v>
      </c>
      <c r="J1" s="57"/>
      <c r="K1" s="57"/>
      <c r="M1" s="57" t="s">
        <v>0</v>
      </c>
      <c r="N1" s="57"/>
      <c r="P1" s="57" t="s">
        <v>8</v>
      </c>
      <c r="Q1" s="57"/>
    </row>
    <row r="2" spans="1:19" x14ac:dyDescent="0.2">
      <c r="A2">
        <v>1</v>
      </c>
      <c r="B2">
        <v>90</v>
      </c>
      <c r="C2" s="2">
        <f>(N2-B2)/N2</f>
        <v>0</v>
      </c>
      <c r="D2" s="1"/>
      <c r="E2">
        <v>1</v>
      </c>
      <c r="F2">
        <v>90</v>
      </c>
      <c r="G2" s="2">
        <f>(N2-F2)/N2</f>
        <v>0</v>
      </c>
      <c r="H2" s="1"/>
      <c r="I2">
        <v>1</v>
      </c>
      <c r="J2">
        <v>90</v>
      </c>
      <c r="K2" s="3">
        <f>(N2-J2)/N2</f>
        <v>0</v>
      </c>
      <c r="L2" s="1"/>
      <c r="M2">
        <v>1</v>
      </c>
      <c r="N2">
        <v>90</v>
      </c>
      <c r="O2" s="8"/>
      <c r="P2" s="9">
        <v>1</v>
      </c>
      <c r="Q2">
        <v>90</v>
      </c>
      <c r="R2">
        <f>(Q2-N2)/Q2</f>
        <v>0</v>
      </c>
      <c r="S2" s="4"/>
    </row>
    <row r="3" spans="1:19" x14ac:dyDescent="0.2">
      <c r="A3">
        <v>2</v>
      </c>
      <c r="B3">
        <v>2510</v>
      </c>
      <c r="C3" s="2">
        <f t="shared" ref="C3:C46" si="0">(N3-B3)/N3</f>
        <v>3.6098310291858678E-2</v>
      </c>
      <c r="D3" s="1"/>
      <c r="E3">
        <v>2</v>
      </c>
      <c r="F3">
        <v>2510</v>
      </c>
      <c r="G3" s="2">
        <f t="shared" ref="G3:G46" si="1">(N3-F3)/N3</f>
        <v>3.6098310291858678E-2</v>
      </c>
      <c r="H3" s="1"/>
      <c r="I3">
        <v>2</v>
      </c>
      <c r="J3">
        <v>2604</v>
      </c>
      <c r="K3" s="3">
        <f t="shared" ref="K3:K18" si="2">(N3-J3)/N3</f>
        <v>0</v>
      </c>
      <c r="L3" s="1"/>
      <c r="M3">
        <v>2</v>
      </c>
      <c r="N3">
        <v>2604</v>
      </c>
      <c r="O3" s="8"/>
      <c r="P3" s="9">
        <v>2</v>
      </c>
      <c r="Q3">
        <v>2604</v>
      </c>
      <c r="R3">
        <f t="shared" ref="R3:R18" si="3">(Q3-N3)/Q3</f>
        <v>0</v>
      </c>
      <c r="S3" s="4"/>
    </row>
    <row r="4" spans="1:19" x14ac:dyDescent="0.2">
      <c r="A4">
        <v>3</v>
      </c>
      <c r="B4">
        <v>5390</v>
      </c>
      <c r="C4" s="2">
        <f t="shared" si="0"/>
        <v>0</v>
      </c>
      <c r="D4" s="1"/>
      <c r="E4">
        <v>3</v>
      </c>
      <c r="F4">
        <v>5390</v>
      </c>
      <c r="G4" s="2">
        <f t="shared" si="1"/>
        <v>0</v>
      </c>
      <c r="H4" s="1"/>
      <c r="I4">
        <v>3</v>
      </c>
      <c r="J4">
        <v>5390</v>
      </c>
      <c r="K4" s="3">
        <f t="shared" si="2"/>
        <v>0</v>
      </c>
      <c r="L4" s="1"/>
      <c r="M4">
        <v>3</v>
      </c>
      <c r="N4">
        <v>5390</v>
      </c>
      <c r="O4" s="8"/>
      <c r="P4" s="9">
        <v>3</v>
      </c>
      <c r="Q4">
        <v>5390</v>
      </c>
      <c r="R4">
        <f t="shared" si="3"/>
        <v>0</v>
      </c>
      <c r="S4" s="4"/>
    </row>
    <row r="5" spans="1:19" x14ac:dyDescent="0.2">
      <c r="A5">
        <v>4</v>
      </c>
      <c r="B5">
        <v>7166</v>
      </c>
      <c r="C5" s="2">
        <f t="shared" si="0"/>
        <v>4.758107389686337E-2</v>
      </c>
      <c r="D5" s="1"/>
      <c r="E5">
        <v>4</v>
      </c>
      <c r="F5">
        <v>7166</v>
      </c>
      <c r="G5" s="2">
        <f t="shared" si="1"/>
        <v>4.758107389686337E-2</v>
      </c>
      <c r="H5" s="1"/>
      <c r="I5">
        <v>4</v>
      </c>
      <c r="J5">
        <v>7524</v>
      </c>
      <c r="K5" s="3">
        <f t="shared" si="2"/>
        <v>0</v>
      </c>
      <c r="L5" s="1"/>
      <c r="M5">
        <v>4</v>
      </c>
      <c r="N5">
        <v>7524</v>
      </c>
      <c r="O5" s="8"/>
      <c r="P5" s="9">
        <v>4</v>
      </c>
      <c r="Q5">
        <v>7524</v>
      </c>
      <c r="R5">
        <f t="shared" si="3"/>
        <v>0</v>
      </c>
      <c r="S5" s="4"/>
    </row>
    <row r="6" spans="1:19" x14ac:dyDescent="0.2">
      <c r="A6">
        <v>5</v>
      </c>
      <c r="B6">
        <v>7650</v>
      </c>
      <c r="C6" s="2">
        <f t="shared" si="0"/>
        <v>8.1632653061224483E-2</v>
      </c>
      <c r="D6" s="1"/>
      <c r="E6">
        <v>5</v>
      </c>
      <c r="F6">
        <v>7650</v>
      </c>
      <c r="G6" s="2">
        <f t="shared" si="1"/>
        <v>8.1632653061224483E-2</v>
      </c>
      <c r="H6" s="1"/>
      <c r="I6">
        <v>5</v>
      </c>
      <c r="J6">
        <v>8330</v>
      </c>
      <c r="K6" s="3">
        <f t="shared" si="2"/>
        <v>0</v>
      </c>
      <c r="L6" s="1"/>
      <c r="M6">
        <v>5</v>
      </c>
      <c r="N6">
        <v>8330</v>
      </c>
      <c r="O6" s="8"/>
      <c r="P6" s="9">
        <v>5</v>
      </c>
      <c r="Q6">
        <v>8330</v>
      </c>
      <c r="R6">
        <f t="shared" si="3"/>
        <v>0</v>
      </c>
      <c r="S6" s="4"/>
    </row>
    <row r="7" spans="1:19" x14ac:dyDescent="0.2">
      <c r="A7">
        <v>6</v>
      </c>
      <c r="B7">
        <v>33368</v>
      </c>
      <c r="C7" s="2">
        <f t="shared" si="0"/>
        <v>1.7142857142857144E-2</v>
      </c>
      <c r="D7" s="1"/>
      <c r="E7">
        <v>6</v>
      </c>
      <c r="F7">
        <v>33368</v>
      </c>
      <c r="G7" s="2">
        <f t="shared" si="1"/>
        <v>1.7142857142857144E-2</v>
      </c>
      <c r="H7" s="1"/>
      <c r="I7">
        <v>6</v>
      </c>
      <c r="J7">
        <v>33924</v>
      </c>
      <c r="K7" s="3">
        <f t="shared" si="2"/>
        <v>7.6583210603829157E-4</v>
      </c>
      <c r="L7" s="1"/>
      <c r="M7">
        <v>6</v>
      </c>
      <c r="N7">
        <v>33950</v>
      </c>
      <c r="O7" s="8"/>
      <c r="P7" s="9">
        <v>6</v>
      </c>
      <c r="Q7">
        <v>33950</v>
      </c>
      <c r="R7">
        <f t="shared" si="3"/>
        <v>0</v>
      </c>
      <c r="S7" s="4"/>
    </row>
    <row r="8" spans="1:19" x14ac:dyDescent="0.2">
      <c r="A8">
        <v>7</v>
      </c>
      <c r="B8">
        <v>20017</v>
      </c>
      <c r="C8" s="2">
        <f t="shared" si="0"/>
        <v>3.6336485813837729E-3</v>
      </c>
      <c r="D8" s="1"/>
      <c r="E8">
        <v>7</v>
      </c>
      <c r="F8">
        <v>17302</v>
      </c>
      <c r="G8" s="2">
        <f t="shared" si="1"/>
        <v>0.13877551020408163</v>
      </c>
      <c r="H8" s="1"/>
      <c r="I8">
        <v>7</v>
      </c>
      <c r="J8">
        <v>20090</v>
      </c>
      <c r="K8" s="3">
        <f t="shared" si="2"/>
        <v>0</v>
      </c>
      <c r="L8" s="1"/>
      <c r="M8">
        <v>7</v>
      </c>
      <c r="N8">
        <v>20090</v>
      </c>
      <c r="O8" s="8"/>
      <c r="P8" s="9">
        <v>7</v>
      </c>
      <c r="Q8">
        <v>20090</v>
      </c>
      <c r="R8">
        <f t="shared" si="3"/>
        <v>0</v>
      </c>
      <c r="S8" s="4"/>
    </row>
    <row r="9" spans="1:19" x14ac:dyDescent="0.2">
      <c r="A9">
        <v>8</v>
      </c>
      <c r="B9">
        <v>29870</v>
      </c>
      <c r="C9" s="2">
        <f t="shared" si="0"/>
        <v>4.2628205128205129E-2</v>
      </c>
      <c r="D9" s="1"/>
      <c r="E9">
        <v>8</v>
      </c>
      <c r="F9">
        <v>23643</v>
      </c>
      <c r="G9" s="2">
        <f t="shared" si="1"/>
        <v>0.24221153846153845</v>
      </c>
      <c r="H9" s="1"/>
      <c r="I9">
        <v>8</v>
      </c>
      <c r="J9">
        <v>31200</v>
      </c>
      <c r="K9" s="3">
        <f t="shared" si="2"/>
        <v>0</v>
      </c>
      <c r="L9" s="1"/>
      <c r="M9">
        <v>8</v>
      </c>
      <c r="N9">
        <v>31200</v>
      </c>
      <c r="O9" s="8"/>
      <c r="P9" s="9">
        <v>8</v>
      </c>
      <c r="Q9">
        <v>31200</v>
      </c>
      <c r="R9">
        <f t="shared" si="3"/>
        <v>0</v>
      </c>
      <c r="S9" s="4"/>
    </row>
    <row r="10" spans="1:19" x14ac:dyDescent="0.2">
      <c r="A10">
        <v>9</v>
      </c>
      <c r="B10">
        <v>52355</v>
      </c>
      <c r="C10" s="2">
        <f t="shared" si="0"/>
        <v>3.2612712490761274E-2</v>
      </c>
      <c r="D10" s="1"/>
      <c r="E10">
        <v>9</v>
      </c>
      <c r="F10">
        <v>52355</v>
      </c>
      <c r="G10" s="2">
        <f t="shared" si="1"/>
        <v>3.2612712490761274E-2</v>
      </c>
      <c r="H10" s="1"/>
      <c r="I10">
        <v>9</v>
      </c>
      <c r="J10">
        <v>53820</v>
      </c>
      <c r="K10" s="3">
        <f t="shared" si="2"/>
        <v>5.5432372505543242E-3</v>
      </c>
      <c r="L10" s="1"/>
      <c r="M10">
        <v>9</v>
      </c>
      <c r="N10">
        <v>54120</v>
      </c>
      <c r="O10" s="8"/>
      <c r="P10" s="9">
        <v>9</v>
      </c>
      <c r="Q10">
        <v>54120</v>
      </c>
      <c r="R10">
        <f t="shared" si="3"/>
        <v>0</v>
      </c>
      <c r="S10" s="4"/>
    </row>
    <row r="11" spans="1:19" x14ac:dyDescent="0.2">
      <c r="A11">
        <v>10</v>
      </c>
      <c r="B11">
        <v>112278</v>
      </c>
      <c r="C11" s="2">
        <f t="shared" si="0"/>
        <v>6.854156296665008E-2</v>
      </c>
      <c r="D11" s="1"/>
      <c r="E11">
        <v>10</v>
      </c>
      <c r="F11">
        <v>93396</v>
      </c>
      <c r="G11" s="2">
        <f t="shared" si="1"/>
        <v>0.22518666002986559</v>
      </c>
      <c r="H11" s="1"/>
      <c r="I11">
        <v>10</v>
      </c>
      <c r="J11">
        <v>119210</v>
      </c>
      <c r="K11" s="3">
        <f t="shared" si="2"/>
        <v>1.1033681765389082E-2</v>
      </c>
      <c r="L11" s="1"/>
      <c r="M11">
        <v>10</v>
      </c>
      <c r="N11">
        <v>120540</v>
      </c>
      <c r="O11" s="8"/>
      <c r="P11" s="9">
        <v>10</v>
      </c>
      <c r="Q11">
        <v>120540</v>
      </c>
      <c r="R11">
        <f t="shared" si="3"/>
        <v>0</v>
      </c>
      <c r="S11" s="4"/>
    </row>
    <row r="12" spans="1:19" x14ac:dyDescent="0.2">
      <c r="A12">
        <v>11</v>
      </c>
      <c r="B12">
        <v>150407</v>
      </c>
      <c r="C12" s="2">
        <f t="shared" si="0"/>
        <v>0.11898430178069354</v>
      </c>
      <c r="D12" s="1"/>
      <c r="E12">
        <v>11</v>
      </c>
      <c r="F12">
        <v>120365</v>
      </c>
      <c r="G12" s="2">
        <f t="shared" si="1"/>
        <v>0.29495665417057171</v>
      </c>
      <c r="H12" s="1"/>
      <c r="I12">
        <v>11</v>
      </c>
      <c r="J12">
        <v>170720</v>
      </c>
      <c r="K12" s="3">
        <f t="shared" si="2"/>
        <v>0</v>
      </c>
      <c r="L12" s="1"/>
      <c r="M12">
        <v>11</v>
      </c>
      <c r="N12">
        <v>170720</v>
      </c>
      <c r="O12" s="8"/>
      <c r="P12" s="9">
        <v>11</v>
      </c>
      <c r="Q12">
        <v>170720</v>
      </c>
      <c r="R12">
        <f t="shared" si="3"/>
        <v>0</v>
      </c>
      <c r="S12" s="4"/>
    </row>
    <row r="13" spans="1:19" x14ac:dyDescent="0.2">
      <c r="A13">
        <v>12</v>
      </c>
      <c r="B13">
        <v>114776</v>
      </c>
      <c r="C13" s="2">
        <f t="shared" si="0"/>
        <v>0.14696395392047565</v>
      </c>
      <c r="D13" s="1"/>
      <c r="E13">
        <v>12</v>
      </c>
      <c r="F13">
        <v>99345</v>
      </c>
      <c r="G13" s="2">
        <f t="shared" si="1"/>
        <v>0.26164994425863991</v>
      </c>
      <c r="H13" s="1"/>
      <c r="I13">
        <v>12</v>
      </c>
      <c r="J13">
        <v>133620</v>
      </c>
      <c r="K13" s="3">
        <f t="shared" si="2"/>
        <v>6.9119286510590855E-3</v>
      </c>
      <c r="L13" s="1"/>
      <c r="M13">
        <v>12</v>
      </c>
      <c r="N13">
        <v>134550</v>
      </c>
      <c r="O13" s="8"/>
      <c r="P13" s="9">
        <v>12</v>
      </c>
      <c r="Q13">
        <v>134550</v>
      </c>
      <c r="R13">
        <f t="shared" si="3"/>
        <v>0</v>
      </c>
      <c r="S13" s="4"/>
    </row>
    <row r="14" spans="1:19" x14ac:dyDescent="0.2">
      <c r="A14">
        <v>13</v>
      </c>
      <c r="B14">
        <v>274405</v>
      </c>
      <c r="C14" s="2">
        <f t="shared" si="0"/>
        <v>0.14141113892365456</v>
      </c>
      <c r="D14" s="1"/>
      <c r="E14">
        <v>13</v>
      </c>
      <c r="F14">
        <v>230016</v>
      </c>
      <c r="G14" s="2">
        <f t="shared" si="1"/>
        <v>0.28030037546933667</v>
      </c>
      <c r="H14" s="1"/>
      <c r="I14">
        <v>13</v>
      </c>
      <c r="J14">
        <v>319420</v>
      </c>
      <c r="K14" s="3">
        <f t="shared" si="2"/>
        <v>5.6320400500625787E-4</v>
      </c>
      <c r="L14" s="1"/>
      <c r="M14">
        <v>13</v>
      </c>
      <c r="N14">
        <v>319600</v>
      </c>
      <c r="O14" s="8"/>
      <c r="P14" s="9">
        <v>13</v>
      </c>
      <c r="Q14">
        <v>319600</v>
      </c>
      <c r="R14">
        <f t="shared" si="3"/>
        <v>0</v>
      </c>
      <c r="S14" s="4"/>
    </row>
    <row r="15" spans="1:19" x14ac:dyDescent="0.2">
      <c r="A15">
        <v>14</v>
      </c>
      <c r="B15">
        <v>493993</v>
      </c>
      <c r="C15" s="2">
        <f t="shared" si="0"/>
        <v>0.12412588652482269</v>
      </c>
      <c r="D15" s="1"/>
      <c r="E15">
        <v>14</v>
      </c>
      <c r="F15">
        <v>463178</v>
      </c>
      <c r="G15" s="2">
        <f t="shared" si="1"/>
        <v>0.17876241134751772</v>
      </c>
      <c r="H15" s="1"/>
      <c r="I15">
        <v>14</v>
      </c>
      <c r="J15">
        <v>563840</v>
      </c>
      <c r="K15" s="3">
        <f t="shared" si="2"/>
        <v>2.8368794326241134E-4</v>
      </c>
      <c r="L15" s="1"/>
      <c r="M15">
        <v>14</v>
      </c>
      <c r="N15">
        <v>564000</v>
      </c>
      <c r="O15" s="8"/>
      <c r="P15" s="9">
        <v>14</v>
      </c>
      <c r="Q15">
        <v>564000</v>
      </c>
      <c r="R15">
        <f t="shared" si="3"/>
        <v>0</v>
      </c>
      <c r="S15" s="4"/>
    </row>
    <row r="16" spans="1:19" x14ac:dyDescent="0.2">
      <c r="A16">
        <v>15</v>
      </c>
      <c r="B16">
        <v>423004</v>
      </c>
      <c r="C16" s="2">
        <f t="shared" si="0"/>
        <v>0.12166943521594685</v>
      </c>
      <c r="D16" s="1"/>
      <c r="E16">
        <v>15</v>
      </c>
      <c r="F16">
        <v>416233</v>
      </c>
      <c r="G16" s="2">
        <f t="shared" si="1"/>
        <v>0.13572882059800664</v>
      </c>
      <c r="H16" s="1"/>
      <c r="I16">
        <v>15</v>
      </c>
      <c r="J16">
        <v>480890</v>
      </c>
      <c r="K16" s="3">
        <f t="shared" si="2"/>
        <v>1.4742524916943522E-3</v>
      </c>
      <c r="L16" s="1"/>
      <c r="M16">
        <v>15</v>
      </c>
      <c r="N16">
        <v>481600</v>
      </c>
      <c r="O16" s="8"/>
      <c r="P16" s="9">
        <v>15</v>
      </c>
      <c r="Q16">
        <v>481600</v>
      </c>
      <c r="R16">
        <f t="shared" si="3"/>
        <v>0</v>
      </c>
      <c r="S16" s="4"/>
    </row>
    <row r="17" spans="1:19" x14ac:dyDescent="0.2">
      <c r="A17">
        <v>16</v>
      </c>
      <c r="B17">
        <v>920941</v>
      </c>
      <c r="C17" s="2">
        <f t="shared" si="0"/>
        <v>5.0576288659793814E-2</v>
      </c>
      <c r="D17" s="1"/>
      <c r="E17">
        <v>16</v>
      </c>
      <c r="F17">
        <v>890329</v>
      </c>
      <c r="G17" s="2">
        <f t="shared" si="1"/>
        <v>8.2135051546391752E-2</v>
      </c>
      <c r="H17" s="1"/>
      <c r="I17">
        <v>16</v>
      </c>
      <c r="J17" s="6">
        <v>970000</v>
      </c>
      <c r="K17" s="3">
        <f t="shared" si="2"/>
        <v>0</v>
      </c>
      <c r="L17" s="1"/>
      <c r="M17">
        <v>16</v>
      </c>
      <c r="N17">
        <v>970000</v>
      </c>
      <c r="O17" s="8"/>
      <c r="P17" s="9">
        <v>16</v>
      </c>
      <c r="Q17">
        <v>970000</v>
      </c>
      <c r="R17">
        <f t="shared" si="3"/>
        <v>0</v>
      </c>
      <c r="S17" s="4"/>
    </row>
    <row r="18" spans="1:19" x14ac:dyDescent="0.2">
      <c r="A18">
        <v>17</v>
      </c>
      <c r="B18">
        <v>706083</v>
      </c>
      <c r="C18" s="2">
        <f t="shared" si="0"/>
        <v>8.5621600621600624E-2</v>
      </c>
      <c r="D18" s="1"/>
      <c r="E18">
        <v>17</v>
      </c>
      <c r="F18">
        <v>706083</v>
      </c>
      <c r="G18" s="2">
        <f t="shared" si="1"/>
        <v>8.5621600621600624E-2</v>
      </c>
      <c r="H18" s="1"/>
      <c r="I18">
        <v>17</v>
      </c>
      <c r="J18" s="6">
        <v>771800</v>
      </c>
      <c r="K18" s="3">
        <f t="shared" si="2"/>
        <v>5.1800051800051804E-4</v>
      </c>
      <c r="L18" s="1"/>
      <c r="M18">
        <v>17</v>
      </c>
      <c r="N18">
        <v>772200</v>
      </c>
      <c r="O18" s="8"/>
      <c r="P18" s="9">
        <v>17</v>
      </c>
      <c r="Q18">
        <v>772200</v>
      </c>
      <c r="R18">
        <f t="shared" si="3"/>
        <v>0</v>
      </c>
      <c r="S18" s="4"/>
    </row>
    <row r="19" spans="1:19" x14ac:dyDescent="0.2">
      <c r="A19">
        <v>18</v>
      </c>
      <c r="B19">
        <v>860252</v>
      </c>
      <c r="C19" s="2">
        <f>(Q19-B19)/Q19</f>
        <v>0.10525560351552343</v>
      </c>
      <c r="D19" s="1"/>
      <c r="E19">
        <v>18</v>
      </c>
      <c r="F19">
        <v>780472</v>
      </c>
      <c r="G19" s="2">
        <f>(Q19-F19)/Q19</f>
        <v>0.18823443756825628</v>
      </c>
      <c r="H19" s="1"/>
      <c r="I19">
        <v>18</v>
      </c>
      <c r="J19" s="6"/>
      <c r="K19" s="3"/>
      <c r="L19" s="1"/>
      <c r="M19" s="17">
        <v>18</v>
      </c>
      <c r="N19" s="17"/>
      <c r="O19" s="8"/>
      <c r="P19" s="9"/>
      <c r="Q19" s="17">
        <v>961450</v>
      </c>
    </row>
    <row r="20" spans="1:19" x14ac:dyDescent="0.2">
      <c r="A20">
        <v>19</v>
      </c>
      <c r="B20">
        <v>964500</v>
      </c>
      <c r="C20" s="2">
        <f t="shared" ref="C20:C46" si="4">(Q20-B20)/Q20</f>
        <v>0.10727508330248056</v>
      </c>
      <c r="D20" s="1"/>
      <c r="E20">
        <v>19</v>
      </c>
      <c r="F20">
        <v>792367</v>
      </c>
      <c r="G20" s="2">
        <f t="shared" ref="G20:G46" si="5">(Q20-F20)/Q20</f>
        <v>0.26659848204368752</v>
      </c>
      <c r="H20" s="1"/>
      <c r="I20">
        <v>19</v>
      </c>
      <c r="J20" s="6"/>
      <c r="K20" s="3"/>
      <c r="L20" s="1"/>
      <c r="M20">
        <v>19</v>
      </c>
      <c r="O20" s="8"/>
      <c r="Q20">
        <v>1080400</v>
      </c>
      <c r="R20" s="5"/>
    </row>
    <row r="21" spans="1:19" x14ac:dyDescent="0.2">
      <c r="A21">
        <v>20</v>
      </c>
      <c r="B21">
        <v>959900</v>
      </c>
      <c r="C21" s="2">
        <f t="shared" si="4"/>
        <v>6.1454720739024964E-2</v>
      </c>
      <c r="D21" s="1"/>
      <c r="E21">
        <v>20</v>
      </c>
      <c r="F21">
        <v>597265</v>
      </c>
      <c r="G21" s="2">
        <f t="shared" si="5"/>
        <v>0.41602224584039355</v>
      </c>
      <c r="H21" s="1"/>
      <c r="I21">
        <v>20</v>
      </c>
      <c r="J21" s="6"/>
      <c r="K21" s="3"/>
      <c r="L21" s="1"/>
      <c r="M21">
        <v>20</v>
      </c>
      <c r="O21" s="8"/>
      <c r="P21" s="7"/>
      <c r="Q21">
        <v>1022753</v>
      </c>
      <c r="R21" s="5"/>
    </row>
    <row r="22" spans="1:19" x14ac:dyDescent="0.2">
      <c r="A22">
        <v>21</v>
      </c>
      <c r="B22">
        <v>1921000</v>
      </c>
      <c r="C22" s="2">
        <f t="shared" si="4"/>
        <v>6.1152636738890959E-2</v>
      </c>
      <c r="D22" s="1"/>
      <c r="E22">
        <v>21</v>
      </c>
      <c r="F22">
        <v>883314</v>
      </c>
      <c r="G22" s="2">
        <f t="shared" si="5"/>
        <v>0.56829931294553704</v>
      </c>
      <c r="H22" s="1"/>
      <c r="I22">
        <v>21</v>
      </c>
      <c r="J22" s="6"/>
      <c r="K22" s="3"/>
      <c r="L22" s="1"/>
      <c r="M22">
        <v>21</v>
      </c>
      <c r="O22" s="8"/>
      <c r="Q22">
        <v>2046126</v>
      </c>
      <c r="R22" s="5"/>
    </row>
    <row r="23" spans="1:19" x14ac:dyDescent="0.2">
      <c r="A23">
        <v>22</v>
      </c>
      <c r="B23">
        <v>2898000</v>
      </c>
      <c r="C23" s="2">
        <f t="shared" si="4"/>
        <v>5.6746249768906083E-2</v>
      </c>
      <c r="D23" s="1"/>
      <c r="E23">
        <v>22</v>
      </c>
      <c r="F23">
        <v>1599535</v>
      </c>
      <c r="G23" s="2">
        <f t="shared" si="5"/>
        <v>0.47937633285856013</v>
      </c>
      <c r="H23" s="1"/>
      <c r="I23">
        <v>22</v>
      </c>
      <c r="J23" s="6"/>
      <c r="K23" s="3"/>
      <c r="L23" s="1"/>
      <c r="M23">
        <v>22</v>
      </c>
      <c r="O23" s="8"/>
      <c r="Q23">
        <v>3072344</v>
      </c>
      <c r="R23" s="5"/>
    </row>
    <row r="24" spans="1:19" x14ac:dyDescent="0.2">
      <c r="A24">
        <v>23</v>
      </c>
      <c r="B24">
        <v>3610000</v>
      </c>
      <c r="C24" s="2">
        <f t="shared" si="4"/>
        <v>0.11914073032261653</v>
      </c>
      <c r="D24" s="1"/>
      <c r="E24">
        <v>23</v>
      </c>
      <c r="F24">
        <v>2662337</v>
      </c>
      <c r="G24" s="2">
        <f t="shared" si="5"/>
        <v>0.35037556081576843</v>
      </c>
      <c r="H24" s="1"/>
      <c r="I24">
        <v>23</v>
      </c>
      <c r="J24" s="6"/>
      <c r="K24" s="3"/>
      <c r="L24" s="1"/>
      <c r="M24">
        <v>23</v>
      </c>
      <c r="O24" s="8"/>
      <c r="Q24">
        <v>4098271</v>
      </c>
      <c r="R24" s="5"/>
    </row>
    <row r="25" spans="1:19" x14ac:dyDescent="0.2">
      <c r="A25">
        <v>24</v>
      </c>
      <c r="B25">
        <v>4878000</v>
      </c>
      <c r="C25" s="2">
        <f t="shared" si="4"/>
        <v>4.7842126837266498E-2</v>
      </c>
      <c r="D25" s="1"/>
      <c r="E25">
        <v>24</v>
      </c>
      <c r="F25">
        <v>2729581</v>
      </c>
      <c r="G25" s="2">
        <f t="shared" si="5"/>
        <v>0.4672013038980305</v>
      </c>
      <c r="H25" s="1"/>
      <c r="I25">
        <v>24</v>
      </c>
      <c r="J25" s="6"/>
      <c r="K25" s="3"/>
      <c r="L25" s="1"/>
      <c r="M25">
        <v>24</v>
      </c>
      <c r="O25" s="8"/>
      <c r="Q25">
        <v>5123100</v>
      </c>
      <c r="R25" s="5"/>
    </row>
    <row r="26" spans="1:19" x14ac:dyDescent="0.2">
      <c r="A26">
        <v>25</v>
      </c>
      <c r="B26">
        <v>5266000</v>
      </c>
      <c r="C26" s="2">
        <f t="shared" si="4"/>
        <v>0.14354737926473884</v>
      </c>
      <c r="D26" s="1"/>
      <c r="E26">
        <v>25</v>
      </c>
      <c r="F26">
        <v>3466977</v>
      </c>
      <c r="G26" s="2">
        <f t="shared" si="5"/>
        <v>0.4361371937563856</v>
      </c>
      <c r="H26" s="1"/>
      <c r="I26">
        <v>25</v>
      </c>
      <c r="J26" s="6"/>
      <c r="K26" s="3"/>
      <c r="L26" s="1"/>
      <c r="M26">
        <v>25</v>
      </c>
      <c r="O26" s="8"/>
      <c r="Q26">
        <v>6148618</v>
      </c>
      <c r="R26" s="5"/>
    </row>
    <row r="27" spans="1:19" x14ac:dyDescent="0.2">
      <c r="A27">
        <v>26</v>
      </c>
      <c r="B27">
        <v>6374144</v>
      </c>
      <c r="C27" s="2">
        <f t="shared" si="4"/>
        <v>0.11147304376893077</v>
      </c>
      <c r="D27" s="1"/>
      <c r="E27">
        <v>26</v>
      </c>
      <c r="F27">
        <v>4286262</v>
      </c>
      <c r="G27" s="2">
        <f t="shared" si="5"/>
        <v>0.4025143880544752</v>
      </c>
      <c r="H27" s="1"/>
      <c r="I27">
        <v>26</v>
      </c>
      <c r="J27" s="6"/>
      <c r="K27" s="3"/>
      <c r="L27" s="1"/>
      <c r="M27">
        <v>26</v>
      </c>
      <c r="O27" s="8"/>
      <c r="Q27">
        <v>7173833</v>
      </c>
      <c r="R27" s="5"/>
    </row>
    <row r="28" spans="1:19" x14ac:dyDescent="0.2">
      <c r="A28">
        <v>27</v>
      </c>
      <c r="B28">
        <v>7632349</v>
      </c>
      <c r="C28" s="2">
        <f t="shared" si="4"/>
        <v>6.928407170574917E-2</v>
      </c>
      <c r="D28" s="1"/>
      <c r="E28">
        <v>27</v>
      </c>
      <c r="F28">
        <v>4495396</v>
      </c>
      <c r="G28" s="2">
        <f t="shared" si="5"/>
        <v>0.451815337428849</v>
      </c>
      <c r="H28" s="1"/>
      <c r="I28">
        <v>27</v>
      </c>
      <c r="J28" s="6"/>
      <c r="K28" s="3"/>
      <c r="L28" s="1"/>
      <c r="M28">
        <v>27</v>
      </c>
      <c r="O28" s="8"/>
      <c r="Q28">
        <v>8200514</v>
      </c>
      <c r="R28" s="5"/>
    </row>
    <row r="29" spans="1:19" x14ac:dyDescent="0.2">
      <c r="A29">
        <v>28</v>
      </c>
      <c r="B29">
        <v>7975923</v>
      </c>
      <c r="C29" s="2">
        <f t="shared" si="4"/>
        <v>0.13566570746596543</v>
      </c>
      <c r="D29" s="1"/>
      <c r="E29">
        <v>28</v>
      </c>
      <c r="F29">
        <v>5502254</v>
      </c>
      <c r="G29" s="2">
        <f t="shared" si="5"/>
        <v>0.40373210493223644</v>
      </c>
      <c r="H29" s="1"/>
      <c r="I29">
        <v>28</v>
      </c>
      <c r="J29" s="6"/>
      <c r="K29" s="3"/>
      <c r="L29" s="1"/>
      <c r="M29">
        <v>28</v>
      </c>
      <c r="O29" s="8"/>
      <c r="Q29">
        <v>9227822</v>
      </c>
      <c r="R29" s="5"/>
    </row>
    <row r="30" spans="1:19" x14ac:dyDescent="0.2">
      <c r="A30">
        <v>29</v>
      </c>
      <c r="B30">
        <v>9732065</v>
      </c>
      <c r="C30" s="2">
        <f t="shared" si="4"/>
        <v>5.0376914516441433E-2</v>
      </c>
      <c r="D30" s="1"/>
      <c r="E30">
        <v>29</v>
      </c>
      <c r="F30">
        <v>6276007</v>
      </c>
      <c r="G30" s="2">
        <f t="shared" si="5"/>
        <v>0.38760775520340113</v>
      </c>
      <c r="H30" s="1"/>
      <c r="I30">
        <v>29</v>
      </c>
      <c r="J30" s="6"/>
      <c r="K30" s="3"/>
      <c r="L30" s="1"/>
      <c r="M30">
        <v>29</v>
      </c>
      <c r="O30" s="8"/>
      <c r="Q30">
        <v>10248345</v>
      </c>
      <c r="R30" s="5"/>
    </row>
    <row r="31" spans="1:19" x14ac:dyDescent="0.2">
      <c r="A31">
        <v>30</v>
      </c>
      <c r="B31">
        <v>18439210</v>
      </c>
      <c r="C31" s="2">
        <f t="shared" si="4"/>
        <v>6.6880368988717631E-2</v>
      </c>
      <c r="D31" s="1"/>
      <c r="E31">
        <v>30</v>
      </c>
      <c r="F31">
        <v>8988744</v>
      </c>
      <c r="G31" s="2">
        <f t="shared" si="5"/>
        <v>0.54512294807994055</v>
      </c>
      <c r="H31" s="1"/>
      <c r="I31">
        <v>30</v>
      </c>
      <c r="J31" s="6"/>
      <c r="K31" s="3"/>
      <c r="L31" s="1"/>
      <c r="M31">
        <v>30</v>
      </c>
      <c r="O31" s="8"/>
      <c r="Q31">
        <v>19760821</v>
      </c>
      <c r="R31" s="5"/>
    </row>
    <row r="32" spans="1:19" x14ac:dyDescent="0.2">
      <c r="A32">
        <v>31</v>
      </c>
      <c r="B32">
        <v>36204665</v>
      </c>
      <c r="C32" s="2">
        <f t="shared" si="4"/>
        <v>8.4443165977031845E-2</v>
      </c>
      <c r="D32" s="1"/>
      <c r="E32">
        <v>31</v>
      </c>
      <c r="F32">
        <v>31267376</v>
      </c>
      <c r="G32" s="2">
        <f t="shared" si="5"/>
        <v>0.20929913924722857</v>
      </c>
      <c r="H32" s="1"/>
      <c r="I32">
        <v>31</v>
      </c>
      <c r="J32" s="6"/>
      <c r="K32" s="3"/>
      <c r="L32" s="1"/>
      <c r="M32">
        <v>31</v>
      </c>
      <c r="O32" s="8"/>
      <c r="Q32">
        <v>39543875</v>
      </c>
      <c r="R32" s="5"/>
    </row>
    <row r="33" spans="1:18" x14ac:dyDescent="0.2">
      <c r="A33">
        <v>32</v>
      </c>
      <c r="B33">
        <v>56985254</v>
      </c>
      <c r="C33" s="2">
        <f t="shared" si="4"/>
        <v>3.9451474538658111E-2</v>
      </c>
      <c r="D33" s="1"/>
      <c r="E33">
        <v>32</v>
      </c>
      <c r="F33">
        <v>34041448</v>
      </c>
      <c r="G33" s="2">
        <f t="shared" si="5"/>
        <v>0.42619431544573011</v>
      </c>
      <c r="H33" s="1"/>
      <c r="I33">
        <v>32</v>
      </c>
      <c r="J33" s="6"/>
      <c r="K33" s="3"/>
      <c r="L33" s="1"/>
      <c r="M33">
        <v>32</v>
      </c>
      <c r="O33" s="8"/>
      <c r="Q33">
        <v>59325742</v>
      </c>
      <c r="R33" s="5"/>
    </row>
    <row r="34" spans="1:18" x14ac:dyDescent="0.2">
      <c r="A34">
        <v>33</v>
      </c>
      <c r="B34">
        <v>73155648</v>
      </c>
      <c r="C34" s="2">
        <f t="shared" si="4"/>
        <v>7.4947247928898508E-2</v>
      </c>
      <c r="D34" s="1"/>
      <c r="E34">
        <v>33</v>
      </c>
      <c r="F34">
        <v>60638550</v>
      </c>
      <c r="G34" s="2">
        <f t="shared" si="5"/>
        <v>0.23322588080825843</v>
      </c>
      <c r="H34" s="1"/>
      <c r="I34">
        <v>33</v>
      </c>
      <c r="J34" s="6"/>
      <c r="K34" s="3"/>
      <c r="L34" s="1"/>
      <c r="M34">
        <v>33</v>
      </c>
      <c r="O34" s="8"/>
      <c r="Q34">
        <v>79082677</v>
      </c>
      <c r="R34" s="5"/>
    </row>
    <row r="35" spans="1:18" x14ac:dyDescent="0.2">
      <c r="A35">
        <v>34</v>
      </c>
      <c r="B35">
        <v>88207405</v>
      </c>
      <c r="C35" s="2">
        <f t="shared" si="4"/>
        <v>0.10761940929141713</v>
      </c>
      <c r="D35" s="1"/>
      <c r="E35">
        <v>34</v>
      </c>
      <c r="F35">
        <v>73959964</v>
      </c>
      <c r="G35" s="2">
        <f t="shared" si="5"/>
        <v>0.25175855288900606</v>
      </c>
      <c r="H35" s="1"/>
      <c r="I35">
        <v>34</v>
      </c>
      <c r="J35" s="6"/>
      <c r="K35" s="3"/>
      <c r="L35" s="1"/>
      <c r="M35">
        <v>34</v>
      </c>
      <c r="O35" s="8"/>
      <c r="Q35">
        <v>98845051</v>
      </c>
      <c r="R35" s="5"/>
    </row>
    <row r="36" spans="1:18" x14ac:dyDescent="0.2">
      <c r="A36">
        <v>35</v>
      </c>
      <c r="B36">
        <v>108501785</v>
      </c>
      <c r="C36" s="2">
        <f t="shared" si="4"/>
        <v>8.5283061160062373E-2</v>
      </c>
      <c r="D36" s="1"/>
      <c r="E36">
        <v>35</v>
      </c>
      <c r="F36">
        <v>87873858</v>
      </c>
      <c r="G36" s="2">
        <f t="shared" si="5"/>
        <v>0.25918540055525019</v>
      </c>
      <c r="H36" s="1"/>
      <c r="I36">
        <v>35</v>
      </c>
      <c r="J36" s="6"/>
      <c r="K36" s="3"/>
      <c r="L36" s="1"/>
      <c r="M36">
        <v>35</v>
      </c>
      <c r="O36" s="8"/>
      <c r="Q36">
        <v>118617881</v>
      </c>
      <c r="R36" s="5"/>
    </row>
    <row r="37" spans="1:18" x14ac:dyDescent="0.2">
      <c r="A37">
        <v>36</v>
      </c>
      <c r="B37">
        <v>124968347</v>
      </c>
      <c r="C37" s="2">
        <f t="shared" si="4"/>
        <v>9.6819929349237249E-2</v>
      </c>
      <c r="D37" s="1"/>
      <c r="E37">
        <v>36</v>
      </c>
      <c r="F37">
        <v>76948539</v>
      </c>
      <c r="G37" s="2">
        <f t="shared" si="5"/>
        <v>0.44387207993962685</v>
      </c>
      <c r="H37" s="1"/>
      <c r="I37">
        <v>36</v>
      </c>
      <c r="J37" s="6"/>
      <c r="K37" s="3"/>
      <c r="L37" s="1"/>
      <c r="M37">
        <v>36</v>
      </c>
      <c r="O37" s="8"/>
      <c r="Q37">
        <v>138364819</v>
      </c>
      <c r="R37" s="5"/>
    </row>
    <row r="38" spans="1:18" x14ac:dyDescent="0.2">
      <c r="A38">
        <v>37</v>
      </c>
      <c r="B38">
        <v>145609705</v>
      </c>
      <c r="C38" s="2">
        <f t="shared" si="4"/>
        <v>7.900422856258138E-2</v>
      </c>
      <c r="D38" s="1"/>
      <c r="E38">
        <v>37</v>
      </c>
      <c r="F38">
        <v>87270834</v>
      </c>
      <c r="G38" s="2">
        <f t="shared" si="5"/>
        <v>0.44800335194816238</v>
      </c>
      <c r="H38" s="1"/>
      <c r="I38">
        <v>37</v>
      </c>
      <c r="J38" s="6"/>
      <c r="K38" s="3"/>
      <c r="L38" s="1"/>
      <c r="M38">
        <v>37</v>
      </c>
      <c r="O38" s="8"/>
      <c r="Q38">
        <v>158100297</v>
      </c>
      <c r="R38" s="5"/>
    </row>
    <row r="39" spans="1:18" x14ac:dyDescent="0.2">
      <c r="A39">
        <v>38</v>
      </c>
      <c r="B39">
        <v>164947000</v>
      </c>
      <c r="C39" s="2">
        <f t="shared" si="4"/>
        <v>7.2615525069536127E-2</v>
      </c>
      <c r="D39" s="1"/>
      <c r="E39">
        <v>38</v>
      </c>
      <c r="F39">
        <v>110088127</v>
      </c>
      <c r="G39" s="2">
        <f t="shared" si="5"/>
        <v>0.38104955013444791</v>
      </c>
      <c r="H39" s="1"/>
      <c r="I39">
        <v>38</v>
      </c>
      <c r="J39" s="6"/>
      <c r="K39" s="3"/>
      <c r="L39" s="1"/>
      <c r="M39">
        <v>38</v>
      </c>
      <c r="O39" s="8"/>
      <c r="Q39">
        <v>177862585</v>
      </c>
      <c r="R39" s="5"/>
    </row>
    <row r="40" spans="1:18" x14ac:dyDescent="0.2">
      <c r="A40">
        <v>39</v>
      </c>
      <c r="B40">
        <v>178733608</v>
      </c>
      <c r="C40" s="2">
        <f t="shared" si="4"/>
        <v>9.5677297746248974E-2</v>
      </c>
      <c r="D40" s="1"/>
      <c r="E40">
        <v>39</v>
      </c>
      <c r="F40">
        <v>157173483</v>
      </c>
      <c r="G40" s="2">
        <f t="shared" si="5"/>
        <v>0.20476316424388413</v>
      </c>
      <c r="H40" s="1"/>
      <c r="I40">
        <v>39</v>
      </c>
      <c r="J40" s="6"/>
      <c r="K40" s="3"/>
      <c r="L40" s="1"/>
      <c r="M40">
        <v>39</v>
      </c>
      <c r="O40" s="8"/>
      <c r="Q40">
        <v>197643615</v>
      </c>
      <c r="R40" s="5"/>
    </row>
    <row r="41" spans="1:18" x14ac:dyDescent="0.2">
      <c r="A41">
        <v>40</v>
      </c>
      <c r="B41">
        <v>168746330</v>
      </c>
      <c r="C41" s="2">
        <f t="shared" si="4"/>
        <v>0.17033591029572154</v>
      </c>
      <c r="D41" s="1"/>
      <c r="E41">
        <v>40</v>
      </c>
      <c r="F41">
        <v>168583488</v>
      </c>
      <c r="G41" s="2">
        <f t="shared" si="5"/>
        <v>0.17113654495068334</v>
      </c>
      <c r="H41" s="1"/>
      <c r="I41">
        <v>40</v>
      </c>
      <c r="J41" s="6"/>
      <c r="K41" s="3"/>
      <c r="L41" s="1"/>
      <c r="M41">
        <v>40</v>
      </c>
      <c r="O41" s="8"/>
      <c r="Q41">
        <v>203391146</v>
      </c>
      <c r="R41" s="5"/>
    </row>
    <row r="42" spans="1:18" x14ac:dyDescent="0.2">
      <c r="A42">
        <v>41</v>
      </c>
      <c r="B42">
        <v>205945603</v>
      </c>
      <c r="C42" s="2">
        <f t="shared" si="4"/>
        <v>0.13163459668615074</v>
      </c>
      <c r="D42" s="1"/>
      <c r="E42">
        <v>41</v>
      </c>
      <c r="F42">
        <v>156500038</v>
      </c>
      <c r="G42" s="2">
        <f t="shared" si="5"/>
        <v>0.3401208055094882</v>
      </c>
      <c r="H42" s="1"/>
      <c r="I42">
        <v>41</v>
      </c>
      <c r="J42" s="6"/>
      <c r="K42" s="3"/>
      <c r="L42" s="1"/>
      <c r="M42">
        <v>41</v>
      </c>
      <c r="O42" s="8"/>
      <c r="Q42">
        <v>237164680</v>
      </c>
      <c r="R42" s="5"/>
    </row>
    <row r="43" spans="1:18" x14ac:dyDescent="0.2">
      <c r="A43">
        <v>42</v>
      </c>
      <c r="B43">
        <v>225368489</v>
      </c>
      <c r="C43" s="2">
        <f t="shared" si="4"/>
        <v>0.12257501684480773</v>
      </c>
      <c r="D43" s="1"/>
      <c r="E43">
        <v>42</v>
      </c>
      <c r="F43">
        <v>181832457</v>
      </c>
      <c r="G43" s="2">
        <f t="shared" si="5"/>
        <v>0.29207343392051488</v>
      </c>
      <c r="H43" s="1"/>
      <c r="I43">
        <v>42</v>
      </c>
      <c r="J43" s="6"/>
      <c r="K43" s="3"/>
      <c r="L43" s="1"/>
      <c r="M43">
        <v>42</v>
      </c>
      <c r="O43" s="8"/>
      <c r="Q43">
        <v>256852145</v>
      </c>
      <c r="R43" s="5"/>
    </row>
    <row r="44" spans="1:18" x14ac:dyDescent="0.2">
      <c r="A44">
        <v>43</v>
      </c>
      <c r="B44">
        <v>245687053</v>
      </c>
      <c r="C44" s="2">
        <f t="shared" si="4"/>
        <v>0.11231338426822614</v>
      </c>
      <c r="D44" s="1"/>
      <c r="E44">
        <v>43</v>
      </c>
      <c r="F44">
        <v>195977949</v>
      </c>
      <c r="G44" s="2">
        <f t="shared" si="5"/>
        <v>0.29191628056255703</v>
      </c>
      <c r="H44" s="1"/>
      <c r="I44">
        <v>43</v>
      </c>
      <c r="J44" s="6"/>
      <c r="K44" s="3"/>
      <c r="L44" s="1"/>
      <c r="M44">
        <v>43</v>
      </c>
      <c r="O44" s="8"/>
      <c r="Q44">
        <v>276772285</v>
      </c>
      <c r="R44" s="5"/>
    </row>
    <row r="45" spans="1:18" x14ac:dyDescent="0.2">
      <c r="A45">
        <v>44</v>
      </c>
      <c r="B45">
        <v>267328300</v>
      </c>
      <c r="C45" s="2">
        <f t="shared" si="4"/>
        <v>9.8033637732355697E-2</v>
      </c>
      <c r="D45" s="1"/>
      <c r="E45">
        <v>44</v>
      </c>
      <c r="F45">
        <v>186623585</v>
      </c>
      <c r="G45" s="2">
        <f t="shared" si="5"/>
        <v>0.37033155084666863</v>
      </c>
      <c r="H45" s="1"/>
      <c r="I45">
        <v>44</v>
      </c>
      <c r="J45" s="6"/>
      <c r="K45" s="3"/>
      <c r="L45" s="1"/>
      <c r="M45">
        <v>44</v>
      </c>
      <c r="O45" s="8"/>
      <c r="Q45">
        <v>296383891</v>
      </c>
      <c r="R45" s="5"/>
    </row>
    <row r="46" spans="1:18" x14ac:dyDescent="0.2">
      <c r="A46">
        <v>45</v>
      </c>
      <c r="B46">
        <v>284063971</v>
      </c>
      <c r="C46" s="2">
        <f t="shared" si="4"/>
        <v>0.1017248772600066</v>
      </c>
      <c r="D46" s="1"/>
      <c r="E46">
        <v>45</v>
      </c>
      <c r="F46">
        <v>150825577</v>
      </c>
      <c r="G46" s="2">
        <f t="shared" si="5"/>
        <v>0.52305509489619395</v>
      </c>
      <c r="H46" s="1"/>
      <c r="I46">
        <v>45</v>
      </c>
      <c r="J46" s="6"/>
      <c r="K46" s="3"/>
      <c r="L46" s="1"/>
      <c r="M46">
        <v>45</v>
      </c>
      <c r="O46" s="8"/>
      <c r="Q46">
        <v>316232704</v>
      </c>
      <c r="R46" s="5"/>
    </row>
    <row r="47" spans="1:18" x14ac:dyDescent="0.2">
      <c r="D47" s="1"/>
      <c r="H47" s="1"/>
      <c r="L47" s="1"/>
      <c r="O47" s="8"/>
    </row>
  </sheetData>
  <mergeCells count="5">
    <mergeCell ref="A1:C1"/>
    <mergeCell ref="E1:G1"/>
    <mergeCell ref="I1:K1"/>
    <mergeCell ref="M1:N1"/>
    <mergeCell ref="P1:Q1"/>
  </mergeCells>
  <pageMargins left="0.7" right="0.7" top="0.75" bottom="0.75" header="0.3" footer="0.3"/>
  <pageSetup paperSize="9" orientation="portrait" r:id="rId1"/>
  <headerFooter>
    <oddHeader xml:space="preserve">&amp;R
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91BB-3B71-4141-BEE4-80CDFF830844}">
  <dimension ref="A1:B19"/>
  <sheetViews>
    <sheetView workbookViewId="0">
      <selection sqref="A1:B19"/>
    </sheetView>
  </sheetViews>
  <sheetFormatPr baseColWidth="10" defaultRowHeight="15" x14ac:dyDescent="0.2"/>
  <cols>
    <col min="1" max="1" width="7.5" bestFit="1" customWidth="1"/>
    <col min="2" max="2" width="5.83203125" bestFit="1" customWidth="1"/>
  </cols>
  <sheetData>
    <row r="1" spans="1:2" x14ac:dyDescent="0.2">
      <c r="A1" s="10" t="s">
        <v>1</v>
      </c>
      <c r="B1" s="11" t="s">
        <v>3</v>
      </c>
    </row>
    <row r="2" spans="1:2" x14ac:dyDescent="0.2">
      <c r="A2" s="12">
        <v>1</v>
      </c>
      <c r="B2" s="13">
        <v>0</v>
      </c>
    </row>
    <row r="3" spans="1:2" x14ac:dyDescent="0.2">
      <c r="A3" s="12">
        <v>2</v>
      </c>
      <c r="B3" s="13">
        <v>0</v>
      </c>
    </row>
    <row r="4" spans="1:2" x14ac:dyDescent="0.2">
      <c r="A4" s="12">
        <v>3</v>
      </c>
      <c r="B4" s="13">
        <v>0.35060200000000002</v>
      </c>
    </row>
    <row r="5" spans="1:2" x14ac:dyDescent="0.2">
      <c r="A5" s="12">
        <v>4</v>
      </c>
      <c r="B5" s="13">
        <v>0.5</v>
      </c>
    </row>
    <row r="6" spans="1:2" x14ac:dyDescent="0.2">
      <c r="A6" s="12">
        <v>5</v>
      </c>
      <c r="B6" s="13">
        <v>0.8</v>
      </c>
    </row>
    <row r="7" spans="1:2" x14ac:dyDescent="0.2">
      <c r="A7" s="12">
        <v>6</v>
      </c>
      <c r="B7" s="13">
        <v>0.82652000000000003</v>
      </c>
    </row>
    <row r="8" spans="1:2" x14ac:dyDescent="0.2">
      <c r="A8" s="12">
        <v>7</v>
      </c>
      <c r="B8" s="13">
        <v>0.73092800000000002</v>
      </c>
    </row>
    <row r="9" spans="1:2" x14ac:dyDescent="0.2">
      <c r="A9" s="12">
        <v>8</v>
      </c>
      <c r="B9" s="13">
        <v>0.88466699999999998</v>
      </c>
    </row>
    <row r="10" spans="1:2" x14ac:dyDescent="0.2">
      <c r="A10" s="12">
        <v>9</v>
      </c>
      <c r="B10" s="13">
        <v>0.92329000000000006</v>
      </c>
    </row>
    <row r="11" spans="1:2" x14ac:dyDescent="0.2">
      <c r="A11" s="12">
        <v>10</v>
      </c>
      <c r="B11" s="13">
        <v>0.92794399999999999</v>
      </c>
    </row>
    <row r="12" spans="1:2" x14ac:dyDescent="0.2">
      <c r="A12" s="12">
        <v>11</v>
      </c>
      <c r="B12" s="13">
        <v>0.85296000000000005</v>
      </c>
    </row>
    <row r="13" spans="1:2" x14ac:dyDescent="0.2">
      <c r="A13" s="12">
        <v>12</v>
      </c>
      <c r="B13" s="13">
        <v>0.93212600000000001</v>
      </c>
    </row>
    <row r="14" spans="1:2" x14ac:dyDescent="0.2">
      <c r="A14" s="12">
        <v>13</v>
      </c>
      <c r="B14" s="13">
        <v>0.924705</v>
      </c>
    </row>
    <row r="15" spans="1:2" x14ac:dyDescent="0.2">
      <c r="A15" s="12">
        <v>14</v>
      </c>
      <c r="B15" s="13">
        <v>0.91157299999999997</v>
      </c>
    </row>
    <row r="16" spans="1:2" x14ac:dyDescent="0.2">
      <c r="A16" s="12">
        <v>15</v>
      </c>
      <c r="B16" s="13">
        <v>0.89452200000000004</v>
      </c>
    </row>
    <row r="17" spans="1:2" x14ac:dyDescent="0.2">
      <c r="A17" s="12">
        <v>16</v>
      </c>
      <c r="B17" s="13">
        <v>0.93452400000000002</v>
      </c>
    </row>
    <row r="18" spans="1:2" x14ac:dyDescent="0.2">
      <c r="A18" s="14">
        <v>17</v>
      </c>
      <c r="B18" s="15">
        <v>0.93029099999999998</v>
      </c>
    </row>
    <row r="19" spans="1:2" x14ac:dyDescent="0.2">
      <c r="A19" s="10" t="s">
        <v>4</v>
      </c>
      <c r="B19" s="16">
        <f>AVERAGE(B6:B18)</f>
        <v>0.88261923076923088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1A473-994F-5D42-A9F3-FFDA207A32EE}">
  <dimension ref="A2:V18"/>
  <sheetViews>
    <sheetView workbookViewId="0">
      <selection activeCell="I5" sqref="I5"/>
    </sheetView>
  </sheetViews>
  <sheetFormatPr baseColWidth="10" defaultRowHeight="16" x14ac:dyDescent="0.2"/>
  <cols>
    <col min="1" max="1" width="8.6640625" bestFit="1" customWidth="1"/>
    <col min="2" max="2" width="8.5" bestFit="1" customWidth="1"/>
    <col min="3" max="3" width="4" style="19" customWidth="1"/>
    <col min="4" max="4" width="10.1640625" bestFit="1" customWidth="1"/>
    <col min="5" max="5" width="12.83203125" bestFit="1" customWidth="1"/>
    <col min="6" max="6" width="12.33203125" bestFit="1" customWidth="1"/>
    <col min="7" max="7" width="6.1640625" bestFit="1" customWidth="1"/>
    <col min="8" max="8" width="4" style="19" customWidth="1"/>
    <col min="9" max="9" width="10.1640625" bestFit="1" customWidth="1"/>
    <col min="10" max="10" width="12.83203125" bestFit="1" customWidth="1"/>
    <col min="11" max="11" width="13" bestFit="1" customWidth="1"/>
    <col min="12" max="12" width="6.1640625" bestFit="1" customWidth="1"/>
    <col min="13" max="13" width="4" style="19" customWidth="1"/>
    <col min="14" max="14" width="8" bestFit="1" customWidth="1"/>
    <col min="15" max="15" width="12.83203125" bestFit="1" customWidth="1"/>
    <col min="16" max="16" width="13" bestFit="1" customWidth="1"/>
    <col min="17" max="17" width="6.1640625" bestFit="1" customWidth="1"/>
    <col min="18" max="18" width="4" style="19" customWidth="1"/>
    <col min="19" max="19" width="8" bestFit="1" customWidth="1"/>
    <col min="20" max="20" width="12.83203125" bestFit="1" customWidth="1"/>
    <col min="21" max="21" width="13" bestFit="1" customWidth="1"/>
    <col min="22" max="22" width="6.1640625" bestFit="1" customWidth="1"/>
  </cols>
  <sheetData>
    <row r="2" spans="1:22" x14ac:dyDescent="0.2">
      <c r="D2" s="57" t="s">
        <v>0</v>
      </c>
      <c r="E2" s="57"/>
      <c r="F2" s="57"/>
      <c r="G2" s="57"/>
      <c r="I2" s="57" t="s">
        <v>16</v>
      </c>
      <c r="J2" s="57"/>
      <c r="K2" s="57"/>
      <c r="L2" s="57"/>
      <c r="N2" s="57" t="s">
        <v>17</v>
      </c>
      <c r="O2" s="57"/>
      <c r="P2" s="57"/>
      <c r="Q2" s="57"/>
      <c r="S2" s="57" t="s">
        <v>18</v>
      </c>
      <c r="T2" s="57"/>
      <c r="U2" s="57"/>
      <c r="V2" s="57"/>
    </row>
    <row r="3" spans="1:22" x14ac:dyDescent="0.2">
      <c r="A3" t="s">
        <v>10</v>
      </c>
      <c r="B3" t="s">
        <v>9</v>
      </c>
      <c r="D3" t="s">
        <v>12</v>
      </c>
      <c r="E3" t="s">
        <v>11</v>
      </c>
      <c r="F3" t="s">
        <v>13</v>
      </c>
      <c r="G3" t="s">
        <v>14</v>
      </c>
      <c r="I3" t="s">
        <v>12</v>
      </c>
      <c r="J3" t="s">
        <v>11</v>
      </c>
      <c r="K3" t="s">
        <v>15</v>
      </c>
      <c r="L3" t="s">
        <v>14</v>
      </c>
      <c r="N3" t="s">
        <v>12</v>
      </c>
      <c r="O3" t="s">
        <v>11</v>
      </c>
      <c r="P3" t="s">
        <v>15</v>
      </c>
      <c r="Q3" t="s">
        <v>14</v>
      </c>
      <c r="S3" t="s">
        <v>12</v>
      </c>
      <c r="T3" t="s">
        <v>11</v>
      </c>
      <c r="U3" t="s">
        <v>15</v>
      </c>
      <c r="V3" t="s">
        <v>14</v>
      </c>
    </row>
    <row r="4" spans="1:22" x14ac:dyDescent="0.2">
      <c r="A4">
        <v>1</v>
      </c>
      <c r="B4">
        <v>10</v>
      </c>
      <c r="D4">
        <v>0.02</v>
      </c>
      <c r="E4">
        <v>450</v>
      </c>
      <c r="F4">
        <v>5</v>
      </c>
      <c r="G4">
        <v>0</v>
      </c>
      <c r="I4">
        <v>1.82</v>
      </c>
      <c r="J4">
        <v>450</v>
      </c>
      <c r="K4">
        <v>5</v>
      </c>
      <c r="L4">
        <v>0</v>
      </c>
      <c r="N4">
        <v>1.92</v>
      </c>
      <c r="O4">
        <v>450</v>
      </c>
      <c r="P4">
        <v>5</v>
      </c>
      <c r="Q4">
        <v>0</v>
      </c>
      <c r="S4">
        <v>1.62</v>
      </c>
      <c r="T4">
        <v>450</v>
      </c>
      <c r="U4">
        <v>5</v>
      </c>
      <c r="V4">
        <v>0</v>
      </c>
    </row>
    <row r="5" spans="1:22" x14ac:dyDescent="0.2">
      <c r="A5">
        <v>2</v>
      </c>
      <c r="B5">
        <v>100</v>
      </c>
      <c r="D5">
        <v>0.14000000000000001</v>
      </c>
      <c r="E5">
        <v>5390</v>
      </c>
      <c r="F5">
        <v>97</v>
      </c>
      <c r="G5">
        <v>0</v>
      </c>
      <c r="I5">
        <v>0</v>
      </c>
      <c r="J5">
        <v>4067</v>
      </c>
      <c r="K5">
        <v>1260</v>
      </c>
      <c r="L5">
        <v>0</v>
      </c>
      <c r="N5">
        <v>0</v>
      </c>
      <c r="O5">
        <v>4067</v>
      </c>
      <c r="P5">
        <v>1260</v>
      </c>
      <c r="Q5">
        <v>0</v>
      </c>
      <c r="S5">
        <v>0.03</v>
      </c>
      <c r="T5">
        <v>4067</v>
      </c>
      <c r="U5">
        <v>1260</v>
      </c>
      <c r="V5">
        <v>0</v>
      </c>
    </row>
    <row r="6" spans="1:22" x14ac:dyDescent="0.2">
      <c r="A6">
        <v>5</v>
      </c>
      <c r="B6">
        <v>100</v>
      </c>
      <c r="D6">
        <v>0.27</v>
      </c>
      <c r="E6">
        <v>10498</v>
      </c>
      <c r="F6">
        <v>255</v>
      </c>
      <c r="G6">
        <v>0</v>
      </c>
      <c r="I6">
        <v>0</v>
      </c>
      <c r="J6">
        <v>3290</v>
      </c>
      <c r="K6">
        <v>1220</v>
      </c>
      <c r="L6">
        <v>0</v>
      </c>
      <c r="N6">
        <v>0</v>
      </c>
      <c r="O6">
        <v>3290</v>
      </c>
      <c r="P6">
        <v>1220</v>
      </c>
      <c r="Q6">
        <v>0</v>
      </c>
      <c r="S6">
        <v>0.06</v>
      </c>
      <c r="T6">
        <v>3290</v>
      </c>
      <c r="U6">
        <v>1220</v>
      </c>
      <c r="V6">
        <v>0</v>
      </c>
    </row>
    <row r="7" spans="1:22" x14ac:dyDescent="0.2">
      <c r="A7">
        <v>5</v>
      </c>
      <c r="B7">
        <v>200</v>
      </c>
      <c r="D7" s="4">
        <v>0.57999999999999996</v>
      </c>
      <c r="E7">
        <v>30727</v>
      </c>
      <c r="F7">
        <v>499</v>
      </c>
      <c r="G7">
        <v>6</v>
      </c>
      <c r="I7">
        <v>0.01</v>
      </c>
      <c r="J7">
        <v>13002</v>
      </c>
      <c r="K7">
        <v>2600</v>
      </c>
      <c r="L7">
        <v>6</v>
      </c>
      <c r="N7">
        <v>0.01</v>
      </c>
      <c r="O7">
        <v>13002</v>
      </c>
      <c r="P7">
        <v>2600</v>
      </c>
      <c r="Q7">
        <v>6</v>
      </c>
      <c r="S7">
        <v>0.1</v>
      </c>
      <c r="T7">
        <v>13002</v>
      </c>
      <c r="U7">
        <v>2600</v>
      </c>
      <c r="V7">
        <v>6</v>
      </c>
    </row>
    <row r="8" spans="1:22" x14ac:dyDescent="0.2">
      <c r="A8">
        <v>5</v>
      </c>
      <c r="B8">
        <v>500</v>
      </c>
      <c r="D8" s="4">
        <v>1.61</v>
      </c>
      <c r="E8">
        <v>37466</v>
      </c>
      <c r="F8">
        <v>1219</v>
      </c>
      <c r="G8">
        <v>34</v>
      </c>
      <c r="I8">
        <v>7.0000000000000007E-2</v>
      </c>
      <c r="J8">
        <v>12580</v>
      </c>
      <c r="K8">
        <v>5950</v>
      </c>
      <c r="L8">
        <v>34</v>
      </c>
      <c r="N8">
        <v>0.09</v>
      </c>
      <c r="O8">
        <v>12580</v>
      </c>
      <c r="P8">
        <v>5950</v>
      </c>
      <c r="Q8">
        <v>34</v>
      </c>
      <c r="S8">
        <v>0.36</v>
      </c>
      <c r="T8">
        <v>12580</v>
      </c>
      <c r="U8">
        <v>5950</v>
      </c>
      <c r="V8">
        <v>34</v>
      </c>
    </row>
    <row r="9" spans="1:22" x14ac:dyDescent="0.2">
      <c r="A9">
        <v>5</v>
      </c>
      <c r="B9">
        <v>700</v>
      </c>
      <c r="D9">
        <v>2.4300000000000002</v>
      </c>
      <c r="E9">
        <v>128020</v>
      </c>
      <c r="F9">
        <v>1714</v>
      </c>
      <c r="G9">
        <v>72</v>
      </c>
      <c r="I9">
        <v>0.14000000000000001</v>
      </c>
      <c r="J9">
        <v>46255</v>
      </c>
      <c r="K9">
        <v>8258</v>
      </c>
      <c r="L9">
        <v>72</v>
      </c>
      <c r="N9">
        <v>0.19</v>
      </c>
      <c r="O9">
        <v>46187</v>
      </c>
      <c r="P9">
        <v>8258</v>
      </c>
      <c r="Q9">
        <v>72</v>
      </c>
      <c r="S9">
        <v>0.64</v>
      </c>
      <c r="T9">
        <v>46187</v>
      </c>
      <c r="U9">
        <v>8258</v>
      </c>
      <c r="V9">
        <v>72</v>
      </c>
    </row>
    <row r="10" spans="1:22" x14ac:dyDescent="0.2">
      <c r="A10">
        <v>5</v>
      </c>
      <c r="B10">
        <v>1000</v>
      </c>
      <c r="D10">
        <v>4.1100000000000003</v>
      </c>
      <c r="E10">
        <v>35796</v>
      </c>
      <c r="F10">
        <v>2395</v>
      </c>
      <c r="G10">
        <v>138</v>
      </c>
      <c r="I10">
        <v>0.28000000000000003</v>
      </c>
      <c r="J10">
        <v>22664</v>
      </c>
      <c r="K10">
        <v>11900</v>
      </c>
      <c r="L10">
        <v>138</v>
      </c>
      <c r="N10">
        <v>0.39</v>
      </c>
      <c r="O10">
        <v>22678</v>
      </c>
      <c r="P10">
        <v>11900</v>
      </c>
      <c r="Q10">
        <v>138</v>
      </c>
      <c r="S10">
        <v>1.23</v>
      </c>
      <c r="T10">
        <v>22657</v>
      </c>
      <c r="U10">
        <v>11900</v>
      </c>
      <c r="V10">
        <v>138</v>
      </c>
    </row>
    <row r="11" spans="1:22" x14ac:dyDescent="0.2">
      <c r="A11">
        <v>10</v>
      </c>
      <c r="B11">
        <v>1000</v>
      </c>
      <c r="D11">
        <v>8.14</v>
      </c>
      <c r="E11">
        <v>270940</v>
      </c>
      <c r="F11">
        <v>4867</v>
      </c>
      <c r="G11">
        <v>138</v>
      </c>
      <c r="I11">
        <v>0.91</v>
      </c>
      <c r="J11">
        <v>49660</v>
      </c>
      <c r="K11">
        <v>12000</v>
      </c>
      <c r="L11">
        <v>138</v>
      </c>
      <c r="N11">
        <v>0.97</v>
      </c>
      <c r="O11">
        <v>50050</v>
      </c>
      <c r="P11">
        <v>12000</v>
      </c>
      <c r="Q11">
        <v>138</v>
      </c>
      <c r="S11">
        <v>2.9</v>
      </c>
      <c r="T11">
        <v>49855</v>
      </c>
      <c r="U11">
        <v>12000</v>
      </c>
      <c r="V11">
        <v>138</v>
      </c>
    </row>
    <row r="12" spans="1:22" x14ac:dyDescent="0.2">
      <c r="A12">
        <v>10</v>
      </c>
      <c r="B12">
        <v>2000</v>
      </c>
      <c r="D12">
        <v>28.31</v>
      </c>
      <c r="E12">
        <v>702573</v>
      </c>
      <c r="F12">
        <v>9406</v>
      </c>
      <c r="G12">
        <v>558</v>
      </c>
      <c r="I12">
        <v>3.6</v>
      </c>
      <c r="J12">
        <v>111012</v>
      </c>
      <c r="K12">
        <v>25400</v>
      </c>
      <c r="L12">
        <v>558</v>
      </c>
      <c r="N12">
        <v>3.91</v>
      </c>
      <c r="O12">
        <v>111078</v>
      </c>
      <c r="P12">
        <v>25400</v>
      </c>
      <c r="Q12">
        <v>558</v>
      </c>
      <c r="S12">
        <v>11.14</v>
      </c>
      <c r="T12">
        <v>110352</v>
      </c>
      <c r="U12">
        <v>25400</v>
      </c>
      <c r="V12">
        <v>558</v>
      </c>
    </row>
    <row r="13" spans="1:22" x14ac:dyDescent="0.2">
      <c r="A13">
        <v>10</v>
      </c>
      <c r="B13">
        <v>3000</v>
      </c>
      <c r="D13">
        <v>75.34</v>
      </c>
      <c r="E13">
        <v>1033112</v>
      </c>
      <c r="F13">
        <v>13507</v>
      </c>
      <c r="G13">
        <v>1326</v>
      </c>
      <c r="I13">
        <v>8.0399999999999991</v>
      </c>
      <c r="J13">
        <v>268814</v>
      </c>
      <c r="K13">
        <v>38100</v>
      </c>
      <c r="L13">
        <v>1326</v>
      </c>
      <c r="N13">
        <v>8.74</v>
      </c>
      <c r="O13">
        <v>268520</v>
      </c>
      <c r="P13">
        <v>38100</v>
      </c>
      <c r="Q13">
        <v>1326</v>
      </c>
      <c r="S13">
        <v>25.47</v>
      </c>
      <c r="T13">
        <v>263032</v>
      </c>
      <c r="U13">
        <v>38100</v>
      </c>
      <c r="V13">
        <v>1326</v>
      </c>
    </row>
    <row r="14" spans="1:22" x14ac:dyDescent="0.2">
      <c r="A14">
        <v>10</v>
      </c>
      <c r="B14">
        <v>4000</v>
      </c>
      <c r="D14">
        <v>167.71</v>
      </c>
      <c r="E14">
        <v>1194109</v>
      </c>
      <c r="F14">
        <v>17566</v>
      </c>
      <c r="G14">
        <v>2398</v>
      </c>
      <c r="I14">
        <v>14.34</v>
      </c>
      <c r="J14">
        <v>375584</v>
      </c>
      <c r="K14">
        <v>49600</v>
      </c>
      <c r="L14">
        <v>2398</v>
      </c>
      <c r="N14">
        <v>16.02</v>
      </c>
      <c r="O14">
        <v>376457</v>
      </c>
      <c r="P14">
        <v>49600</v>
      </c>
      <c r="Q14">
        <v>2398</v>
      </c>
      <c r="S14">
        <v>46.91</v>
      </c>
      <c r="T14">
        <v>370540</v>
      </c>
      <c r="U14">
        <v>49600</v>
      </c>
      <c r="V14">
        <v>2398</v>
      </c>
    </row>
    <row r="15" spans="1:22" x14ac:dyDescent="0.2">
      <c r="A15">
        <v>10</v>
      </c>
      <c r="B15">
        <v>5000</v>
      </c>
      <c r="D15">
        <v>307.83999999999997</v>
      </c>
      <c r="E15">
        <v>1738544</v>
      </c>
      <c r="F15">
        <v>21412</v>
      </c>
      <c r="G15">
        <v>3762</v>
      </c>
      <c r="I15">
        <v>22.04</v>
      </c>
      <c r="J15">
        <v>354660</v>
      </c>
      <c r="K15">
        <v>64500</v>
      </c>
      <c r="L15">
        <v>3762</v>
      </c>
      <c r="N15">
        <v>27.33</v>
      </c>
      <c r="O15">
        <v>353694</v>
      </c>
      <c r="P15">
        <v>64500</v>
      </c>
      <c r="Q15">
        <v>3762</v>
      </c>
      <c r="S15">
        <v>77.75</v>
      </c>
      <c r="T15">
        <v>345552</v>
      </c>
      <c r="U15">
        <v>64500</v>
      </c>
      <c r="V15">
        <v>3762</v>
      </c>
    </row>
    <row r="16" spans="1:22" x14ac:dyDescent="0.2">
      <c r="A16">
        <v>10</v>
      </c>
      <c r="B16">
        <v>10000</v>
      </c>
      <c r="D16">
        <v>2271.0100000000002</v>
      </c>
      <c r="E16">
        <v>4660587</v>
      </c>
      <c r="F16">
        <v>39863</v>
      </c>
      <c r="G16">
        <v>14972</v>
      </c>
      <c r="I16">
        <v>155.44</v>
      </c>
      <c r="J16">
        <v>861424</v>
      </c>
      <c r="K16">
        <v>121000</v>
      </c>
      <c r="L16">
        <v>14972</v>
      </c>
      <c r="N16">
        <v>185.54</v>
      </c>
      <c r="O16">
        <v>859044</v>
      </c>
      <c r="P16">
        <v>121000</v>
      </c>
      <c r="Q16">
        <v>14972</v>
      </c>
      <c r="S16">
        <v>500.6</v>
      </c>
      <c r="T16">
        <v>822868</v>
      </c>
      <c r="U16">
        <v>121000</v>
      </c>
      <c r="V16">
        <v>14972</v>
      </c>
    </row>
    <row r="17" spans="1:22" x14ac:dyDescent="0.2">
      <c r="A17">
        <v>10</v>
      </c>
      <c r="B17">
        <v>15000</v>
      </c>
      <c r="I17">
        <v>702.25</v>
      </c>
      <c r="J17">
        <v>1589216</v>
      </c>
      <c r="K17">
        <v>181500</v>
      </c>
      <c r="L17">
        <v>33712</v>
      </c>
      <c r="N17">
        <v>721.18</v>
      </c>
      <c r="O17">
        <v>1583008</v>
      </c>
      <c r="P17">
        <v>181500</v>
      </c>
      <c r="Q17">
        <v>33712</v>
      </c>
      <c r="S17">
        <v>1732.8</v>
      </c>
      <c r="T17">
        <v>1510944</v>
      </c>
      <c r="U17">
        <v>181500</v>
      </c>
      <c r="V17">
        <v>33712</v>
      </c>
    </row>
    <row r="18" spans="1:22" x14ac:dyDescent="0.2">
      <c r="A18">
        <v>10</v>
      </c>
      <c r="B18">
        <v>20000</v>
      </c>
      <c r="I18">
        <v>1490.33</v>
      </c>
      <c r="J18">
        <v>1744120</v>
      </c>
      <c r="K18">
        <v>250000</v>
      </c>
      <c r="L18">
        <v>59762</v>
      </c>
      <c r="N18">
        <v>1505.61</v>
      </c>
      <c r="O18">
        <v>1740592</v>
      </c>
      <c r="P18">
        <v>250000</v>
      </c>
      <c r="Q18">
        <v>59762</v>
      </c>
    </row>
  </sheetData>
  <mergeCells count="4">
    <mergeCell ref="I2:L2"/>
    <mergeCell ref="N2:Q2"/>
    <mergeCell ref="S2:V2"/>
    <mergeCell ref="D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3F23-5B48-E740-AE12-B3F8383D5054}">
  <dimension ref="A2:AV26"/>
  <sheetViews>
    <sheetView workbookViewId="0">
      <pane xSplit="9" topLeftCell="Y1" activePane="topRight" state="frozen"/>
      <selection pane="topRight" activeCell="AJ24" sqref="AJ24"/>
    </sheetView>
  </sheetViews>
  <sheetFormatPr baseColWidth="10" defaultRowHeight="16" x14ac:dyDescent="0.2"/>
  <cols>
    <col min="2" max="2" width="8.6640625" bestFit="1" customWidth="1"/>
    <col min="3" max="3" width="8.5" bestFit="1" customWidth="1"/>
    <col min="4" max="4" width="4" style="19" customWidth="1"/>
    <col min="5" max="5" width="10.1640625" bestFit="1" customWidth="1"/>
    <col min="6" max="6" width="12.83203125" bestFit="1" customWidth="1"/>
    <col min="7" max="7" width="12.83203125" customWidth="1"/>
    <col min="8" max="8" width="11.83203125" customWidth="1"/>
    <col min="9" max="9" width="7.1640625" customWidth="1"/>
    <col min="10" max="10" width="4" style="19" customWidth="1"/>
    <col min="11" max="11" width="10.1640625" bestFit="1" customWidth="1"/>
    <col min="12" max="12" width="12.83203125" bestFit="1" customWidth="1"/>
    <col min="13" max="13" width="12.83203125" customWidth="1"/>
    <col min="14" max="14" width="7.1640625" bestFit="1" customWidth="1"/>
    <col min="15" max="15" width="8.6640625" bestFit="1" customWidth="1"/>
    <col min="16" max="17" width="8.6640625" customWidth="1"/>
    <col min="18" max="18" width="4" style="19" customWidth="1"/>
    <col min="19" max="19" width="8" bestFit="1" customWidth="1"/>
    <col min="20" max="20" width="12.83203125" bestFit="1" customWidth="1"/>
    <col min="21" max="21" width="12.83203125" customWidth="1"/>
    <col min="22" max="22" width="7.1640625" bestFit="1" customWidth="1"/>
    <col min="23" max="23" width="8.6640625" customWidth="1"/>
    <col min="24" max="25" width="7.1640625" customWidth="1"/>
    <col min="26" max="26" width="4" style="19" customWidth="1"/>
    <col min="27" max="27" width="8" bestFit="1" customWidth="1"/>
    <col min="28" max="28" width="12.83203125" bestFit="1" customWidth="1"/>
    <col min="29" max="29" width="12.83203125" customWidth="1"/>
    <col min="30" max="30" width="7.1640625" bestFit="1" customWidth="1"/>
    <col min="31" max="31" width="7.6640625" bestFit="1" customWidth="1"/>
    <col min="32" max="32" width="7.6640625" customWidth="1"/>
    <col min="33" max="33" width="4" style="19" customWidth="1"/>
    <col min="34" max="34" width="8.83203125" customWidth="1"/>
    <col min="35" max="35" width="12.83203125" bestFit="1" customWidth="1"/>
    <col min="36" max="36" width="12.83203125" customWidth="1"/>
    <col min="37" max="37" width="7.1640625" bestFit="1" customWidth="1"/>
    <col min="38" max="38" width="6.1640625" customWidth="1"/>
    <col min="39" max="39" width="4" style="19" customWidth="1"/>
    <col min="40" max="40" width="18" customWidth="1"/>
    <col min="41" max="41" width="22.6640625" customWidth="1"/>
    <col min="42" max="42" width="10" customWidth="1"/>
    <col min="43" max="43" width="11.5" customWidth="1"/>
    <col min="44" max="44" width="8.1640625" bestFit="1" customWidth="1"/>
    <col min="45" max="45" width="4" style="19" customWidth="1"/>
    <col min="46" max="46" width="12.83203125" bestFit="1" customWidth="1"/>
    <col min="47" max="47" width="8.1640625" bestFit="1" customWidth="1"/>
    <col min="48" max="48" width="11.6640625" bestFit="1" customWidth="1"/>
  </cols>
  <sheetData>
    <row r="2" spans="1:48" x14ac:dyDescent="0.2">
      <c r="E2" s="57" t="s">
        <v>0</v>
      </c>
      <c r="F2" s="57"/>
      <c r="G2" s="57"/>
      <c r="H2" s="57"/>
      <c r="I2" s="18"/>
      <c r="K2" s="57" t="s">
        <v>16</v>
      </c>
      <c r="L2" s="57"/>
      <c r="M2" s="57"/>
      <c r="N2" s="57"/>
      <c r="O2" s="57"/>
      <c r="P2" s="18"/>
      <c r="Q2" s="18"/>
      <c r="S2" s="57" t="s">
        <v>17</v>
      </c>
      <c r="T2" s="57"/>
      <c r="U2" s="57"/>
      <c r="V2" s="57"/>
      <c r="W2" s="57"/>
      <c r="X2" s="18"/>
      <c r="Y2" s="18"/>
      <c r="AA2" s="57" t="s">
        <v>18</v>
      </c>
      <c r="AB2" s="57"/>
      <c r="AC2" s="57"/>
      <c r="AD2" s="57"/>
      <c r="AE2" s="57"/>
      <c r="AF2" s="18"/>
      <c r="AH2" s="57" t="s">
        <v>36</v>
      </c>
      <c r="AI2" s="57"/>
      <c r="AJ2" s="57"/>
      <c r="AK2" s="57"/>
      <c r="AL2" s="57"/>
      <c r="AN2" s="57" t="s">
        <v>49</v>
      </c>
      <c r="AO2" s="57"/>
      <c r="AP2" s="57"/>
      <c r="AQ2" s="57"/>
      <c r="AR2" s="57"/>
      <c r="AT2" s="57" t="s">
        <v>51</v>
      </c>
      <c r="AU2" s="57"/>
    </row>
    <row r="3" spans="1:48" x14ac:dyDescent="0.2">
      <c r="A3" t="s">
        <v>1</v>
      </c>
      <c r="B3" t="s">
        <v>10</v>
      </c>
      <c r="C3" t="s">
        <v>9</v>
      </c>
      <c r="E3" t="s">
        <v>12</v>
      </c>
      <c r="F3" t="s">
        <v>11</v>
      </c>
      <c r="G3" t="s">
        <v>15</v>
      </c>
      <c r="H3" t="s">
        <v>14</v>
      </c>
      <c r="I3" t="s">
        <v>43</v>
      </c>
      <c r="K3" t="s">
        <v>12</v>
      </c>
      <c r="L3" t="s">
        <v>11</v>
      </c>
      <c r="M3" t="s">
        <v>15</v>
      </c>
      <c r="N3" t="s">
        <v>19</v>
      </c>
      <c r="O3" t="s">
        <v>20</v>
      </c>
      <c r="P3" t="s">
        <v>35</v>
      </c>
      <c r="Q3" t="s">
        <v>43</v>
      </c>
      <c r="S3" t="s">
        <v>12</v>
      </c>
      <c r="T3" t="s">
        <v>11</v>
      </c>
      <c r="U3" t="s">
        <v>15</v>
      </c>
      <c r="V3" t="s">
        <v>19</v>
      </c>
      <c r="W3" t="s">
        <v>20</v>
      </c>
      <c r="X3" t="s">
        <v>35</v>
      </c>
      <c r="Y3" t="s">
        <v>43</v>
      </c>
      <c r="AA3" t="s">
        <v>12</v>
      </c>
      <c r="AB3" t="s">
        <v>11</v>
      </c>
      <c r="AC3" t="s">
        <v>15</v>
      </c>
      <c r="AD3" t="s">
        <v>19</v>
      </c>
      <c r="AE3" t="s">
        <v>35</v>
      </c>
      <c r="AF3" t="s">
        <v>43</v>
      </c>
      <c r="AH3" t="s">
        <v>12</v>
      </c>
      <c r="AI3" t="s">
        <v>11</v>
      </c>
      <c r="AJ3" t="s">
        <v>15</v>
      </c>
      <c r="AK3" t="s">
        <v>19</v>
      </c>
      <c r="AL3" t="s">
        <v>43</v>
      </c>
      <c r="AN3" t="s">
        <v>56</v>
      </c>
      <c r="AO3" t="s">
        <v>55</v>
      </c>
      <c r="AP3" t="s">
        <v>62</v>
      </c>
      <c r="AQ3" t="s">
        <v>63</v>
      </c>
      <c r="AR3" t="s">
        <v>50</v>
      </c>
      <c r="AT3" t="s">
        <v>11</v>
      </c>
      <c r="AU3" t="s">
        <v>50</v>
      </c>
    </row>
    <row r="4" spans="1:48" x14ac:dyDescent="0.2">
      <c r="A4">
        <v>0</v>
      </c>
      <c r="B4">
        <v>1</v>
      </c>
      <c r="C4">
        <v>10</v>
      </c>
      <c r="E4">
        <v>0.01</v>
      </c>
      <c r="F4">
        <v>450</v>
      </c>
      <c r="G4">
        <v>5</v>
      </c>
      <c r="H4">
        <v>0</v>
      </c>
      <c r="I4">
        <f>F4/G4</f>
        <v>90</v>
      </c>
      <c r="K4">
        <v>1.87</v>
      </c>
      <c r="L4">
        <v>450</v>
      </c>
      <c r="M4" s="6">
        <v>5</v>
      </c>
      <c r="N4">
        <f t="shared" ref="N4:N19" si="0">($F4-L4)/$F4</f>
        <v>0</v>
      </c>
      <c r="O4">
        <f t="shared" ref="O4:O26" si="1">($AB4-L4)/$AB4</f>
        <v>0</v>
      </c>
      <c r="P4">
        <f t="shared" ref="P4:P26" si="2">($AI4-L4)/$AI4</f>
        <v>0</v>
      </c>
      <c r="Q4">
        <f>L4/M4</f>
        <v>90</v>
      </c>
      <c r="S4">
        <v>1.86</v>
      </c>
      <c r="T4">
        <v>450</v>
      </c>
      <c r="U4">
        <v>5</v>
      </c>
      <c r="V4">
        <f t="shared" ref="V4:V19" si="3">($F4-T4)/$F4</f>
        <v>0</v>
      </c>
      <c r="W4">
        <f t="shared" ref="W4:W26" si="4">($AB4-T4)/$AB4</f>
        <v>0</v>
      </c>
      <c r="X4">
        <f t="shared" ref="X4:X26" si="5">($AI4-T4)/$AI4</f>
        <v>0</v>
      </c>
      <c r="Y4">
        <f>T4/U4</f>
        <v>90</v>
      </c>
      <c r="AA4">
        <v>1.84</v>
      </c>
      <c r="AB4">
        <v>450</v>
      </c>
      <c r="AC4">
        <v>5</v>
      </c>
      <c r="AD4">
        <f t="shared" ref="AD4:AD19" si="6">($F4-AB4)/$F4</f>
        <v>0</v>
      </c>
      <c r="AE4">
        <f>($AI4-AB4)/$AI4</f>
        <v>0</v>
      </c>
      <c r="AF4">
        <f>AB4/AC4</f>
        <v>90</v>
      </c>
      <c r="AH4" s="4">
        <v>1.74</v>
      </c>
      <c r="AI4">
        <v>450</v>
      </c>
      <c r="AJ4">
        <v>5</v>
      </c>
      <c r="AK4" s="4">
        <f t="shared" ref="AK4:AK19" si="7">($F4-AI4)/$F4</f>
        <v>0</v>
      </c>
      <c r="AL4">
        <f>AI4/AJ4</f>
        <v>90</v>
      </c>
    </row>
    <row r="5" spans="1:48" x14ac:dyDescent="0.2">
      <c r="A5">
        <v>1</v>
      </c>
      <c r="B5">
        <v>2</v>
      </c>
      <c r="C5">
        <v>100</v>
      </c>
      <c r="E5">
        <v>0.02</v>
      </c>
      <c r="F5">
        <v>5390</v>
      </c>
      <c r="G5">
        <v>97</v>
      </c>
      <c r="H5">
        <v>10</v>
      </c>
      <c r="I5">
        <f t="shared" ref="I5:I19" si="8">F5/G5</f>
        <v>55.567010309278352</v>
      </c>
      <c r="K5">
        <v>0</v>
      </c>
      <c r="L5">
        <v>4067</v>
      </c>
      <c r="M5" s="6">
        <v>73</v>
      </c>
      <c r="N5" s="4">
        <f t="shared" si="0"/>
        <v>0.24545454545454545</v>
      </c>
      <c r="O5">
        <f t="shared" si="1"/>
        <v>0</v>
      </c>
      <c r="P5">
        <f t="shared" si="2"/>
        <v>0.23119092627599244</v>
      </c>
      <c r="Q5">
        <f t="shared" ref="Q5:Q26" si="9">L5/M5</f>
        <v>55.712328767123289</v>
      </c>
      <c r="S5">
        <v>0</v>
      </c>
      <c r="T5">
        <v>4067</v>
      </c>
      <c r="U5">
        <v>73</v>
      </c>
      <c r="V5">
        <f t="shared" si="3"/>
        <v>0.24545454545454545</v>
      </c>
      <c r="W5">
        <f t="shared" si="4"/>
        <v>0</v>
      </c>
      <c r="X5">
        <f t="shared" si="5"/>
        <v>0.23119092627599244</v>
      </c>
      <c r="Y5">
        <f t="shared" ref="Y5:Y26" si="10">T5/U5</f>
        <v>55.712328767123289</v>
      </c>
      <c r="AA5">
        <v>0.03</v>
      </c>
      <c r="AB5">
        <v>4067</v>
      </c>
      <c r="AC5">
        <v>73</v>
      </c>
      <c r="AD5">
        <f t="shared" si="6"/>
        <v>0.24545454545454545</v>
      </c>
      <c r="AE5">
        <f t="shared" ref="AE5:AE26" si="11">($AI5-AB5)/$AI5</f>
        <v>0.23119092627599244</v>
      </c>
      <c r="AF5">
        <f t="shared" ref="AF5:AF26" si="12">AB5/AC5</f>
        <v>55.712328767123289</v>
      </c>
      <c r="AH5" s="4">
        <v>3.4000000000000004</v>
      </c>
      <c r="AI5">
        <v>5290</v>
      </c>
      <c r="AJ5">
        <v>95</v>
      </c>
      <c r="AK5" s="4">
        <f t="shared" si="7"/>
        <v>1.8552875695732839E-2</v>
      </c>
      <c r="AL5">
        <f t="shared" ref="AL5:AL26" si="13">AI5/AJ5</f>
        <v>55.684210526315788</v>
      </c>
      <c r="AN5">
        <v>2510</v>
      </c>
      <c r="AO5">
        <v>4263</v>
      </c>
      <c r="AP5">
        <v>1</v>
      </c>
      <c r="AQ5" s="4">
        <v>0.1</v>
      </c>
      <c r="AR5" s="4">
        <f t="shared" ref="AR5:AR19" si="14">F5/AO5</f>
        <v>1.264367816091954</v>
      </c>
      <c r="AT5">
        <v>4851</v>
      </c>
      <c r="AU5" s="4">
        <f t="shared" ref="AU5:AU25" si="15">AI5/AT5</f>
        <v>1.090496804782519</v>
      </c>
    </row>
    <row r="6" spans="1:48" x14ac:dyDescent="0.2">
      <c r="A6">
        <v>2</v>
      </c>
      <c r="B6">
        <v>5</v>
      </c>
      <c r="C6">
        <v>100</v>
      </c>
      <c r="E6">
        <v>7.0000000000000007E-2</v>
      </c>
      <c r="F6">
        <v>7290</v>
      </c>
      <c r="G6">
        <v>255</v>
      </c>
      <c r="H6">
        <v>10</v>
      </c>
      <c r="I6">
        <f t="shared" si="8"/>
        <v>28.588235294117649</v>
      </c>
      <c r="K6">
        <v>0</v>
      </c>
      <c r="L6">
        <v>2890</v>
      </c>
      <c r="M6" s="6">
        <v>101</v>
      </c>
      <c r="N6" s="4">
        <f t="shared" si="0"/>
        <v>0.60356652949245537</v>
      </c>
      <c r="O6">
        <f t="shared" si="1"/>
        <v>0.50933786078098475</v>
      </c>
      <c r="P6">
        <f t="shared" si="2"/>
        <v>0.58357348703170031</v>
      </c>
      <c r="Q6">
        <f t="shared" si="9"/>
        <v>28.613861386138613</v>
      </c>
      <c r="S6">
        <v>0</v>
      </c>
      <c r="T6">
        <v>2890</v>
      </c>
      <c r="U6">
        <v>101</v>
      </c>
      <c r="V6">
        <f t="shared" si="3"/>
        <v>0.60356652949245537</v>
      </c>
      <c r="W6">
        <f t="shared" si="4"/>
        <v>0.50933786078098475</v>
      </c>
      <c r="X6">
        <f t="shared" si="5"/>
        <v>0.58357348703170031</v>
      </c>
      <c r="Y6">
        <f t="shared" si="10"/>
        <v>28.613861386138613</v>
      </c>
      <c r="AA6">
        <v>0.06</v>
      </c>
      <c r="AB6">
        <v>5890</v>
      </c>
      <c r="AC6">
        <v>206</v>
      </c>
      <c r="AD6">
        <f t="shared" si="6"/>
        <v>0.19204389574759945</v>
      </c>
      <c r="AE6">
        <f t="shared" si="11"/>
        <v>0.15129682997118155</v>
      </c>
      <c r="AF6">
        <f t="shared" si="12"/>
        <v>28.592233009708739</v>
      </c>
      <c r="AH6" s="4">
        <v>3.65</v>
      </c>
      <c r="AI6">
        <v>6940</v>
      </c>
      <c r="AJ6">
        <v>242</v>
      </c>
      <c r="AK6" s="4">
        <f t="shared" si="7"/>
        <v>4.8010973936899862E-2</v>
      </c>
      <c r="AL6">
        <f t="shared" si="13"/>
        <v>28.677685950413224</v>
      </c>
      <c r="AN6">
        <v>5390</v>
      </c>
      <c r="AO6">
        <v>6170</v>
      </c>
      <c r="AP6">
        <v>1</v>
      </c>
      <c r="AQ6" s="4">
        <v>0.1</v>
      </c>
      <c r="AR6" s="4">
        <f t="shared" si="14"/>
        <v>1.1815235008103728</v>
      </c>
      <c r="AT6">
        <v>3170</v>
      </c>
      <c r="AU6" s="4">
        <f t="shared" si="15"/>
        <v>2.189274447949527</v>
      </c>
    </row>
    <row r="7" spans="1:48" x14ac:dyDescent="0.2">
      <c r="A7">
        <v>3</v>
      </c>
      <c r="B7">
        <v>5</v>
      </c>
      <c r="C7">
        <v>200</v>
      </c>
      <c r="E7" s="4">
        <v>0.1</v>
      </c>
      <c r="F7">
        <v>24472</v>
      </c>
      <c r="G7">
        <v>499</v>
      </c>
      <c r="H7">
        <v>52</v>
      </c>
      <c r="I7">
        <f t="shared" si="8"/>
        <v>49.042084168336672</v>
      </c>
      <c r="K7">
        <v>0</v>
      </c>
      <c r="L7">
        <v>11782</v>
      </c>
      <c r="M7" s="6">
        <v>240</v>
      </c>
      <c r="N7" s="4">
        <f t="shared" si="0"/>
        <v>0.51855181431840469</v>
      </c>
      <c r="O7">
        <f t="shared" si="1"/>
        <v>0.43731792349204834</v>
      </c>
      <c r="P7">
        <f t="shared" si="2"/>
        <v>0.49786907603136721</v>
      </c>
      <c r="Q7">
        <f t="shared" si="9"/>
        <v>49.091666666666669</v>
      </c>
      <c r="S7">
        <v>0</v>
      </c>
      <c r="T7">
        <v>14632</v>
      </c>
      <c r="U7">
        <v>298</v>
      </c>
      <c r="V7">
        <f t="shared" si="3"/>
        <v>0.40209218698921217</v>
      </c>
      <c r="W7">
        <f t="shared" si="4"/>
        <v>0.30120827164621045</v>
      </c>
      <c r="X7">
        <f t="shared" si="5"/>
        <v>0.37640640981929763</v>
      </c>
      <c r="Y7">
        <f t="shared" si="10"/>
        <v>49.100671140939596</v>
      </c>
      <c r="AA7">
        <v>0.1</v>
      </c>
      <c r="AB7">
        <v>20939</v>
      </c>
      <c r="AC7">
        <v>427</v>
      </c>
      <c r="AD7">
        <f t="shared" si="6"/>
        <v>0.1443690748610657</v>
      </c>
      <c r="AE7">
        <f t="shared" si="11"/>
        <v>0.10761166041595636</v>
      </c>
      <c r="AF7">
        <f t="shared" si="12"/>
        <v>49.037470725995313</v>
      </c>
      <c r="AH7" s="4">
        <v>3.85</v>
      </c>
      <c r="AI7">
        <v>23464</v>
      </c>
      <c r="AJ7">
        <v>478</v>
      </c>
      <c r="AK7" s="4">
        <f t="shared" si="7"/>
        <v>4.1189931350114416E-2</v>
      </c>
      <c r="AL7">
        <f t="shared" si="13"/>
        <v>49.087866108786613</v>
      </c>
      <c r="AN7">
        <v>7166</v>
      </c>
      <c r="AO7">
        <v>12316</v>
      </c>
      <c r="AP7">
        <v>3</v>
      </c>
      <c r="AQ7" s="4">
        <v>0.26</v>
      </c>
      <c r="AR7" s="4">
        <f t="shared" si="14"/>
        <v>1.9870087690808704</v>
      </c>
      <c r="AT7">
        <v>7659</v>
      </c>
      <c r="AU7" s="4">
        <f t="shared" si="15"/>
        <v>3.0635853244548898</v>
      </c>
    </row>
    <row r="8" spans="1:48" x14ac:dyDescent="0.2">
      <c r="A8">
        <v>4</v>
      </c>
      <c r="B8">
        <v>5</v>
      </c>
      <c r="C8">
        <v>500</v>
      </c>
      <c r="E8" s="4">
        <v>0.27</v>
      </c>
      <c r="F8">
        <v>29348</v>
      </c>
      <c r="G8">
        <v>1219</v>
      </c>
      <c r="H8">
        <v>284</v>
      </c>
      <c r="I8">
        <f t="shared" si="8"/>
        <v>24.075471698113208</v>
      </c>
      <c r="K8">
        <v>0.02</v>
      </c>
      <c r="L8">
        <v>10880</v>
      </c>
      <c r="M8" s="6">
        <v>452</v>
      </c>
      <c r="N8" s="4">
        <f t="shared" si="0"/>
        <v>0.62927627095543137</v>
      </c>
      <c r="O8">
        <f t="shared" si="1"/>
        <v>0.49699491447064265</v>
      </c>
      <c r="P8">
        <f t="shared" si="2"/>
        <v>0.60357077791947533</v>
      </c>
      <c r="Q8">
        <f t="shared" si="9"/>
        <v>24.070796460176989</v>
      </c>
      <c r="S8">
        <v>0.05</v>
      </c>
      <c r="T8">
        <v>15734</v>
      </c>
      <c r="U8">
        <v>654</v>
      </c>
      <c r="V8">
        <f t="shared" si="3"/>
        <v>0.46388169551587843</v>
      </c>
      <c r="W8">
        <f t="shared" si="4"/>
        <v>0.27258437355524734</v>
      </c>
      <c r="X8">
        <f t="shared" si="5"/>
        <v>0.42670796137730005</v>
      </c>
      <c r="Y8">
        <f t="shared" si="10"/>
        <v>24.058103975535168</v>
      </c>
      <c r="AA8">
        <v>0.33</v>
      </c>
      <c r="AB8">
        <v>21630</v>
      </c>
      <c r="AC8">
        <v>898</v>
      </c>
      <c r="AD8">
        <f t="shared" si="6"/>
        <v>0.26298214529099084</v>
      </c>
      <c r="AE8">
        <f t="shared" si="11"/>
        <v>0.21187830205866279</v>
      </c>
      <c r="AF8">
        <f t="shared" si="12"/>
        <v>24.08685968819599</v>
      </c>
      <c r="AH8" s="4">
        <v>4.95</v>
      </c>
      <c r="AI8">
        <v>27445</v>
      </c>
      <c r="AJ8">
        <v>1139</v>
      </c>
      <c r="AK8" s="4">
        <f t="shared" si="7"/>
        <v>6.484257871064468E-2</v>
      </c>
      <c r="AL8">
        <f t="shared" si="13"/>
        <v>24.095697980684811</v>
      </c>
      <c r="AN8">
        <v>7650</v>
      </c>
      <c r="AO8">
        <v>17578</v>
      </c>
      <c r="AP8">
        <v>4</v>
      </c>
      <c r="AQ8" s="4">
        <v>0.56000000000000005</v>
      </c>
      <c r="AR8" s="4">
        <f t="shared" si="14"/>
        <v>1.6695869837296622</v>
      </c>
      <c r="AT8">
        <v>8318</v>
      </c>
      <c r="AU8" s="4">
        <f t="shared" si="15"/>
        <v>3.2994710266891079</v>
      </c>
    </row>
    <row r="9" spans="1:48" x14ac:dyDescent="0.2">
      <c r="A9">
        <v>5</v>
      </c>
      <c r="B9">
        <v>5</v>
      </c>
      <c r="C9">
        <v>700</v>
      </c>
      <c r="E9">
        <v>0.41</v>
      </c>
      <c r="F9">
        <v>99280</v>
      </c>
      <c r="G9">
        <v>1714</v>
      </c>
      <c r="H9">
        <v>622</v>
      </c>
      <c r="I9">
        <f t="shared" si="8"/>
        <v>57.92298716452742</v>
      </c>
      <c r="K9">
        <v>0.05</v>
      </c>
      <c r="L9">
        <v>31563</v>
      </c>
      <c r="M9" s="6">
        <v>545</v>
      </c>
      <c r="N9" s="4">
        <f t="shared" si="0"/>
        <v>0.68208098307816278</v>
      </c>
      <c r="O9">
        <f t="shared" si="1"/>
        <v>0.61270016565433461</v>
      </c>
      <c r="P9">
        <f t="shared" si="2"/>
        <v>0.65739313548835288</v>
      </c>
      <c r="Q9">
        <f t="shared" si="9"/>
        <v>57.913761467889906</v>
      </c>
      <c r="S9">
        <v>0.09</v>
      </c>
      <c r="T9">
        <v>40182</v>
      </c>
      <c r="U9">
        <v>694</v>
      </c>
      <c r="V9">
        <f t="shared" si="3"/>
        <v>0.5952659145850121</v>
      </c>
      <c r="W9">
        <f t="shared" si="4"/>
        <v>0.50693907601693355</v>
      </c>
      <c r="X9">
        <f t="shared" si="5"/>
        <v>0.56383648481427606</v>
      </c>
      <c r="Y9">
        <f t="shared" si="10"/>
        <v>57.899135446685882</v>
      </c>
      <c r="AA9">
        <v>0.56999999999999995</v>
      </c>
      <c r="AB9">
        <v>81495</v>
      </c>
      <c r="AC9">
        <v>1407</v>
      </c>
      <c r="AD9">
        <f t="shared" si="6"/>
        <v>0.17913980660757453</v>
      </c>
      <c r="AE9">
        <f t="shared" si="11"/>
        <v>0.11539630506046067</v>
      </c>
      <c r="AF9">
        <f t="shared" si="12"/>
        <v>57.921108742004265</v>
      </c>
      <c r="AH9" s="4">
        <v>5.4</v>
      </c>
      <c r="AI9">
        <v>92126</v>
      </c>
      <c r="AJ9">
        <v>1590</v>
      </c>
      <c r="AK9" s="4">
        <f t="shared" si="7"/>
        <v>7.2058823529411759E-2</v>
      </c>
      <c r="AL9">
        <f t="shared" si="13"/>
        <v>57.940880503144655</v>
      </c>
      <c r="AN9">
        <v>33368</v>
      </c>
      <c r="AO9">
        <v>43100</v>
      </c>
      <c r="AP9">
        <v>5</v>
      </c>
      <c r="AQ9" s="4">
        <v>0.88</v>
      </c>
      <c r="AR9" s="4">
        <f t="shared" si="14"/>
        <v>2.3034802784222737</v>
      </c>
      <c r="AT9">
        <v>32504</v>
      </c>
      <c r="AU9" s="4">
        <f t="shared" si="15"/>
        <v>2.8342973172532613</v>
      </c>
    </row>
    <row r="10" spans="1:48" x14ac:dyDescent="0.2">
      <c r="A10">
        <v>6</v>
      </c>
      <c r="B10">
        <v>5</v>
      </c>
      <c r="C10">
        <v>1000</v>
      </c>
      <c r="E10">
        <v>0.63</v>
      </c>
      <c r="F10">
        <v>33031</v>
      </c>
      <c r="G10">
        <v>2395</v>
      </c>
      <c r="H10">
        <v>1272</v>
      </c>
      <c r="I10">
        <f t="shared" si="8"/>
        <v>13.791649269311065</v>
      </c>
      <c r="K10">
        <v>0.1</v>
      </c>
      <c r="L10">
        <v>22664</v>
      </c>
      <c r="M10" s="6">
        <v>1643</v>
      </c>
      <c r="N10" s="4">
        <f t="shared" si="0"/>
        <v>0.31385668008840178</v>
      </c>
      <c r="O10">
        <f t="shared" si="1"/>
        <v>0.14979179952732866</v>
      </c>
      <c r="P10">
        <f t="shared" si="2"/>
        <v>0.28897254901960784</v>
      </c>
      <c r="Q10">
        <f t="shared" si="9"/>
        <v>13.794278758368838</v>
      </c>
      <c r="S10">
        <v>0.19</v>
      </c>
      <c r="T10">
        <v>22678</v>
      </c>
      <c r="U10">
        <v>1644</v>
      </c>
      <c r="V10">
        <f t="shared" si="3"/>
        <v>0.31343283582089554</v>
      </c>
      <c r="W10">
        <f t="shared" si="4"/>
        <v>0.14926660914581535</v>
      </c>
      <c r="X10">
        <f t="shared" si="5"/>
        <v>0.28853333333333331</v>
      </c>
      <c r="Y10">
        <f t="shared" si="10"/>
        <v>13.79440389294404</v>
      </c>
      <c r="AA10">
        <v>1.1000000000000001</v>
      </c>
      <c r="AB10">
        <v>26657</v>
      </c>
      <c r="AC10">
        <v>1933</v>
      </c>
      <c r="AD10">
        <f t="shared" si="6"/>
        <v>0.19297024007750296</v>
      </c>
      <c r="AE10">
        <f t="shared" si="11"/>
        <v>0.16370196078431373</v>
      </c>
      <c r="AF10">
        <f t="shared" si="12"/>
        <v>13.790481117434041</v>
      </c>
      <c r="AH10" s="4">
        <v>10.149999999999999</v>
      </c>
      <c r="AI10">
        <v>31875</v>
      </c>
      <c r="AJ10">
        <v>2311</v>
      </c>
      <c r="AK10" s="4">
        <f t="shared" si="7"/>
        <v>3.4997426659804425E-2</v>
      </c>
      <c r="AL10">
        <f t="shared" si="13"/>
        <v>13.792730419731718</v>
      </c>
      <c r="AN10">
        <v>20017</v>
      </c>
      <c r="AO10">
        <v>23591</v>
      </c>
      <c r="AP10">
        <v>8</v>
      </c>
      <c r="AQ10" s="4">
        <v>1.28</v>
      </c>
      <c r="AR10" s="4">
        <f t="shared" si="14"/>
        <v>1.4001526005680132</v>
      </c>
      <c r="AT10">
        <v>17749</v>
      </c>
      <c r="AU10" s="4">
        <f t="shared" si="15"/>
        <v>1.7958758239900841</v>
      </c>
    </row>
    <row r="11" spans="1:48" x14ac:dyDescent="0.2">
      <c r="A11">
        <v>7</v>
      </c>
      <c r="B11">
        <v>10</v>
      </c>
      <c r="C11">
        <v>1000</v>
      </c>
      <c r="E11">
        <v>1.29</v>
      </c>
      <c r="F11">
        <v>115483</v>
      </c>
      <c r="G11">
        <v>4867</v>
      </c>
      <c r="H11">
        <v>1272</v>
      </c>
      <c r="I11">
        <f t="shared" si="8"/>
        <v>23.727758372714199</v>
      </c>
      <c r="K11">
        <v>0.15</v>
      </c>
      <c r="L11">
        <v>34580</v>
      </c>
      <c r="M11" s="6">
        <v>1457</v>
      </c>
      <c r="N11" s="4">
        <f t="shared" si="0"/>
        <v>0.70056198747867648</v>
      </c>
      <c r="O11">
        <f t="shared" si="1"/>
        <v>0.63388035997882475</v>
      </c>
      <c r="P11">
        <f t="shared" si="2"/>
        <v>0.67340385341896492</v>
      </c>
      <c r="Q11">
        <f t="shared" si="9"/>
        <v>23.733699382292382</v>
      </c>
      <c r="S11">
        <v>0.24</v>
      </c>
      <c r="T11">
        <v>54775</v>
      </c>
      <c r="U11">
        <v>2308</v>
      </c>
      <c r="V11">
        <f t="shared" si="3"/>
        <v>0.52568776356693192</v>
      </c>
      <c r="W11">
        <f t="shared" si="4"/>
        <v>0.4200635256749603</v>
      </c>
      <c r="X11">
        <f t="shared" si="5"/>
        <v>0.48266905931242915</v>
      </c>
      <c r="Y11">
        <f t="shared" si="10"/>
        <v>23.732668977469672</v>
      </c>
      <c r="AA11">
        <v>2.2400000000000002</v>
      </c>
      <c r="AB11">
        <v>94450</v>
      </c>
      <c r="AC11">
        <v>3981</v>
      </c>
      <c r="AD11">
        <f t="shared" si="6"/>
        <v>0.18213070322038741</v>
      </c>
      <c r="AE11">
        <f t="shared" si="11"/>
        <v>0.10795239894219871</v>
      </c>
      <c r="AF11">
        <f t="shared" si="12"/>
        <v>23.725194674704849</v>
      </c>
      <c r="AH11" s="4">
        <v>21.8</v>
      </c>
      <c r="AI11">
        <v>105880</v>
      </c>
      <c r="AJ11">
        <v>4462</v>
      </c>
      <c r="AK11" s="4">
        <f t="shared" si="7"/>
        <v>8.3155096421118263E-2</v>
      </c>
      <c r="AL11">
        <f t="shared" si="13"/>
        <v>23.729269385925594</v>
      </c>
      <c r="AN11">
        <v>29870</v>
      </c>
      <c r="AO11">
        <v>60450</v>
      </c>
      <c r="AP11">
        <v>8</v>
      </c>
      <c r="AQ11" s="4">
        <v>1.28</v>
      </c>
      <c r="AR11" s="4">
        <f t="shared" si="14"/>
        <v>1.9103887510339124</v>
      </c>
      <c r="AT11">
        <v>22396</v>
      </c>
      <c r="AU11" s="4">
        <f t="shared" si="15"/>
        <v>4.7276299339167709</v>
      </c>
    </row>
    <row r="12" spans="1:48" x14ac:dyDescent="0.2">
      <c r="A12">
        <v>8</v>
      </c>
      <c r="B12">
        <v>10</v>
      </c>
      <c r="C12">
        <v>2000</v>
      </c>
      <c r="E12">
        <v>4.26</v>
      </c>
      <c r="F12">
        <v>370512</v>
      </c>
      <c r="G12">
        <v>9406</v>
      </c>
      <c r="H12">
        <v>4728</v>
      </c>
      <c r="I12">
        <f t="shared" si="8"/>
        <v>39.391027004039977</v>
      </c>
      <c r="K12">
        <v>0.6</v>
      </c>
      <c r="L12">
        <v>111012</v>
      </c>
      <c r="M12" s="6">
        <v>3818</v>
      </c>
      <c r="N12" s="4">
        <f t="shared" si="0"/>
        <v>0.70038217385671719</v>
      </c>
      <c r="O12">
        <f t="shared" si="1"/>
        <v>0.60402636685309896</v>
      </c>
      <c r="P12">
        <f t="shared" si="2"/>
        <v>0.68408111692288431</v>
      </c>
      <c r="Q12">
        <f t="shared" si="9"/>
        <v>29.075955997904661</v>
      </c>
      <c r="S12">
        <v>0.97</v>
      </c>
      <c r="T12">
        <v>117078</v>
      </c>
      <c r="U12">
        <v>3972</v>
      </c>
      <c r="V12">
        <f t="shared" si="3"/>
        <v>0.68401023448633247</v>
      </c>
      <c r="W12">
        <f t="shared" si="4"/>
        <v>0.58238928204542861</v>
      </c>
      <c r="X12">
        <f t="shared" si="5"/>
        <v>0.66681844311513572</v>
      </c>
      <c r="Y12">
        <f t="shared" si="10"/>
        <v>29.475830815709969</v>
      </c>
      <c r="AA12">
        <v>8.75</v>
      </c>
      <c r="AB12">
        <v>280352</v>
      </c>
      <c r="AC12">
        <v>9117</v>
      </c>
      <c r="AD12">
        <f t="shared" si="6"/>
        <v>0.24333894718659585</v>
      </c>
      <c r="AE12">
        <f t="shared" si="11"/>
        <v>0.2021719209775921</v>
      </c>
      <c r="AF12">
        <f t="shared" si="12"/>
        <v>30.75046616211473</v>
      </c>
      <c r="AH12" s="4">
        <v>79.099999999999994</v>
      </c>
      <c r="AI12">
        <v>351394</v>
      </c>
      <c r="AJ12">
        <v>8920</v>
      </c>
      <c r="AK12" s="4">
        <f t="shared" si="7"/>
        <v>5.1598868592650171E-2</v>
      </c>
      <c r="AL12">
        <f t="shared" si="13"/>
        <v>39.393946188340806</v>
      </c>
      <c r="AN12">
        <v>52355</v>
      </c>
      <c r="AO12">
        <v>168828</v>
      </c>
      <c r="AP12">
        <v>10</v>
      </c>
      <c r="AQ12" s="4">
        <v>2.36</v>
      </c>
      <c r="AR12" s="4">
        <f t="shared" si="14"/>
        <v>2.194612268107186</v>
      </c>
      <c r="AT12">
        <v>109494</v>
      </c>
      <c r="AU12" s="4">
        <f t="shared" si="15"/>
        <v>3.20925347507626</v>
      </c>
    </row>
    <row r="13" spans="1:48" x14ac:dyDescent="0.2">
      <c r="A13">
        <v>9</v>
      </c>
      <c r="B13">
        <v>10</v>
      </c>
      <c r="C13">
        <v>3000</v>
      </c>
      <c r="E13">
        <v>11.3</v>
      </c>
      <c r="F13">
        <v>799008</v>
      </c>
      <c r="G13">
        <v>13507</v>
      </c>
      <c r="H13">
        <v>10760</v>
      </c>
      <c r="I13">
        <f t="shared" si="8"/>
        <v>59.155104760494559</v>
      </c>
      <c r="K13">
        <v>1.36</v>
      </c>
      <c r="L13">
        <v>268814</v>
      </c>
      <c r="M13" s="6">
        <v>9544</v>
      </c>
      <c r="N13" s="4">
        <f t="shared" si="0"/>
        <v>0.66356532099803756</v>
      </c>
      <c r="O13">
        <f t="shared" si="1"/>
        <v>0.59456858794145684</v>
      </c>
      <c r="P13">
        <f t="shared" si="2"/>
        <v>0.63600837895403894</v>
      </c>
      <c r="Q13">
        <f t="shared" si="9"/>
        <v>28.165758591785416</v>
      </c>
      <c r="S13">
        <v>2.1800000000000002</v>
      </c>
      <c r="T13">
        <v>268520</v>
      </c>
      <c r="U13">
        <v>9439</v>
      </c>
      <c r="V13">
        <f t="shared" si="3"/>
        <v>0.66393327726380713</v>
      </c>
      <c r="W13">
        <f t="shared" si="4"/>
        <v>0.59501200545373378</v>
      </c>
      <c r="X13">
        <f t="shared" si="5"/>
        <v>0.63640647405543815</v>
      </c>
      <c r="Y13">
        <f t="shared" si="10"/>
        <v>28.447928806017586</v>
      </c>
      <c r="AA13">
        <v>20.100000000000001</v>
      </c>
      <c r="AB13">
        <v>663032</v>
      </c>
      <c r="AC13">
        <v>13208</v>
      </c>
      <c r="AD13">
        <f t="shared" si="6"/>
        <v>0.17018102447034322</v>
      </c>
      <c r="AE13">
        <f t="shared" si="11"/>
        <v>0.1022115943167185</v>
      </c>
      <c r="AF13">
        <f t="shared" si="12"/>
        <v>50.199273167777108</v>
      </c>
      <c r="AH13" s="4">
        <v>189.75</v>
      </c>
      <c r="AI13">
        <v>738517</v>
      </c>
      <c r="AJ13">
        <v>12484</v>
      </c>
      <c r="AK13" s="4">
        <f t="shared" si="7"/>
        <v>7.5707627458047974E-2</v>
      </c>
      <c r="AL13">
        <f t="shared" si="13"/>
        <v>59.157081063761616</v>
      </c>
      <c r="AN13">
        <v>112278</v>
      </c>
      <c r="AO13">
        <v>478828</v>
      </c>
      <c r="AP13">
        <v>12</v>
      </c>
      <c r="AQ13" s="4">
        <v>3.59</v>
      </c>
      <c r="AR13" s="4">
        <f t="shared" si="14"/>
        <v>1.6686743465294427</v>
      </c>
      <c r="AT13">
        <v>226956</v>
      </c>
      <c r="AU13" s="4">
        <f t="shared" si="15"/>
        <v>3.2540095877615043</v>
      </c>
    </row>
    <row r="14" spans="1:48" x14ac:dyDescent="0.2">
      <c r="A14">
        <v>10</v>
      </c>
      <c r="B14">
        <v>10</v>
      </c>
      <c r="C14">
        <v>4000</v>
      </c>
      <c r="E14">
        <v>24.03</v>
      </c>
      <c r="F14">
        <v>923919</v>
      </c>
      <c r="G14">
        <v>17566</v>
      </c>
      <c r="H14">
        <v>19234</v>
      </c>
      <c r="I14">
        <f t="shared" si="8"/>
        <v>52.597005578959354</v>
      </c>
      <c r="K14">
        <v>2.4300000000000002</v>
      </c>
      <c r="L14">
        <v>335135</v>
      </c>
      <c r="M14" s="6">
        <v>9372</v>
      </c>
      <c r="N14" s="4">
        <f t="shared" si="0"/>
        <v>0.63726798561345743</v>
      </c>
      <c r="O14">
        <f t="shared" si="1"/>
        <v>0.5413946932687439</v>
      </c>
      <c r="P14">
        <f t="shared" si="2"/>
        <v>0.61640023899512164</v>
      </c>
      <c r="Q14">
        <f t="shared" si="9"/>
        <v>35.759176269739648</v>
      </c>
      <c r="S14">
        <v>3.88</v>
      </c>
      <c r="T14">
        <v>334359</v>
      </c>
      <c r="U14">
        <v>9357</v>
      </c>
      <c r="V14">
        <f t="shared" si="3"/>
        <v>0.63810788608092273</v>
      </c>
      <c r="W14">
        <f t="shared" si="4"/>
        <v>0.54245658688780329</v>
      </c>
      <c r="X14">
        <f t="shared" si="5"/>
        <v>0.61728845841278857</v>
      </c>
      <c r="Y14">
        <f t="shared" si="10"/>
        <v>35.733568451426741</v>
      </c>
      <c r="AA14">
        <v>37.33</v>
      </c>
      <c r="AB14">
        <v>730770</v>
      </c>
      <c r="AC14">
        <v>15894</v>
      </c>
      <c r="AD14">
        <f t="shared" si="6"/>
        <v>0.20905404045159803</v>
      </c>
      <c r="AE14">
        <f t="shared" si="11"/>
        <v>0.16355141256647338</v>
      </c>
      <c r="AF14">
        <f t="shared" si="12"/>
        <v>45.97772744431861</v>
      </c>
      <c r="AH14" s="4">
        <v>331.75</v>
      </c>
      <c r="AI14">
        <v>873658</v>
      </c>
      <c r="AJ14">
        <v>16610</v>
      </c>
      <c r="AK14" s="4">
        <f t="shared" si="7"/>
        <v>5.439979045782152E-2</v>
      </c>
      <c r="AL14">
        <f t="shared" si="13"/>
        <v>52.598314268512944</v>
      </c>
      <c r="AN14">
        <v>150407</v>
      </c>
      <c r="AO14">
        <v>420398</v>
      </c>
      <c r="AP14">
        <v>15</v>
      </c>
      <c r="AQ14" s="4">
        <v>4.8099999999999996</v>
      </c>
      <c r="AR14" s="4">
        <f t="shared" si="14"/>
        <v>2.1977245372242495</v>
      </c>
      <c r="AT14">
        <v>390761</v>
      </c>
      <c r="AU14" s="4">
        <f t="shared" si="15"/>
        <v>2.2357860687223137</v>
      </c>
      <c r="AV14" s="6"/>
    </row>
    <row r="15" spans="1:48" x14ac:dyDescent="0.2">
      <c r="A15">
        <v>11</v>
      </c>
      <c r="B15">
        <v>10</v>
      </c>
      <c r="C15">
        <v>5000</v>
      </c>
      <c r="E15">
        <v>43.93</v>
      </c>
      <c r="F15">
        <v>1079619</v>
      </c>
      <c r="G15">
        <v>21412</v>
      </c>
      <c r="H15">
        <v>29922</v>
      </c>
      <c r="I15">
        <f t="shared" si="8"/>
        <v>50.421212404259293</v>
      </c>
      <c r="K15">
        <v>3.8</v>
      </c>
      <c r="L15">
        <v>316572</v>
      </c>
      <c r="M15" s="6">
        <v>10279</v>
      </c>
      <c r="N15" s="4">
        <f t="shared" si="0"/>
        <v>0.70677433427903735</v>
      </c>
      <c r="O15">
        <f t="shared" si="1"/>
        <v>0.6522570142426859</v>
      </c>
      <c r="P15">
        <f t="shared" si="2"/>
        <v>0.69807901759231528</v>
      </c>
      <c r="Q15">
        <f t="shared" si="9"/>
        <v>30.797937542562504</v>
      </c>
      <c r="S15">
        <v>6.13</v>
      </c>
      <c r="T15">
        <v>315606</v>
      </c>
      <c r="U15">
        <v>10259</v>
      </c>
      <c r="V15">
        <f t="shared" si="3"/>
        <v>0.70766909437496006</v>
      </c>
      <c r="W15">
        <f t="shared" si="4"/>
        <v>0.65331813058980936</v>
      </c>
      <c r="X15">
        <f t="shared" si="5"/>
        <v>0.69900031091265258</v>
      </c>
      <c r="Y15">
        <f t="shared" si="10"/>
        <v>30.763817136173117</v>
      </c>
      <c r="AA15">
        <v>60.39</v>
      </c>
      <c r="AB15">
        <v>910362</v>
      </c>
      <c r="AC15">
        <v>19235</v>
      </c>
      <c r="AD15">
        <f t="shared" si="6"/>
        <v>0.15677475109274661</v>
      </c>
      <c r="AE15">
        <f t="shared" si="11"/>
        <v>0.13176974152286161</v>
      </c>
      <c r="AF15">
        <f t="shared" si="12"/>
        <v>47.328411749415132</v>
      </c>
      <c r="AH15" s="4">
        <v>541.70000000000005</v>
      </c>
      <c r="AI15">
        <v>1048526</v>
      </c>
      <c r="AJ15">
        <v>20795</v>
      </c>
      <c r="AK15" s="4">
        <f t="shared" si="7"/>
        <v>2.8799974805926904E-2</v>
      </c>
      <c r="AL15">
        <f t="shared" si="13"/>
        <v>50.422024525126233</v>
      </c>
      <c r="AN15">
        <v>114776</v>
      </c>
      <c r="AO15">
        <v>444705</v>
      </c>
      <c r="AP15">
        <v>17</v>
      </c>
      <c r="AQ15" s="4">
        <v>5.98</v>
      </c>
      <c r="AR15" s="4">
        <f t="shared" si="14"/>
        <v>2.4277194994434512</v>
      </c>
      <c r="AT15">
        <v>549158</v>
      </c>
      <c r="AU15" s="4">
        <f t="shared" si="15"/>
        <v>1.9093339257554292</v>
      </c>
      <c r="AV15" s="6"/>
    </row>
    <row r="16" spans="1:48" x14ac:dyDescent="0.2">
      <c r="A16">
        <v>12</v>
      </c>
      <c r="B16">
        <v>10</v>
      </c>
      <c r="C16">
        <v>10000</v>
      </c>
      <c r="E16">
        <v>309.95999999999998</v>
      </c>
      <c r="F16">
        <v>3531509</v>
      </c>
      <c r="G16">
        <v>39863</v>
      </c>
      <c r="H16">
        <v>119778</v>
      </c>
      <c r="I16">
        <f t="shared" si="8"/>
        <v>88.5911496876803</v>
      </c>
      <c r="K16">
        <v>15.53</v>
      </c>
      <c r="L16">
        <v>861424</v>
      </c>
      <c r="M16" s="6">
        <v>25724</v>
      </c>
      <c r="N16" s="4">
        <f t="shared" si="0"/>
        <v>0.75607481107934316</v>
      </c>
      <c r="O16">
        <f t="shared" si="1"/>
        <v>0.69484084980239957</v>
      </c>
      <c r="P16">
        <f t="shared" si="2"/>
        <v>0.74543395593003559</v>
      </c>
      <c r="Q16">
        <f t="shared" si="9"/>
        <v>33.487171512983984</v>
      </c>
      <c r="S16">
        <v>25.1</v>
      </c>
      <c r="T16">
        <v>859044</v>
      </c>
      <c r="U16">
        <v>24697</v>
      </c>
      <c r="V16">
        <f t="shared" si="3"/>
        <v>0.75674874395053215</v>
      </c>
      <c r="W16">
        <f t="shared" si="4"/>
        <v>0.69568396396855958</v>
      </c>
      <c r="X16">
        <f t="shared" si="5"/>
        <v>0.74613728806947743</v>
      </c>
      <c r="Y16">
        <f t="shared" si="10"/>
        <v>34.783334008179132</v>
      </c>
      <c r="AA16">
        <v>290.14</v>
      </c>
      <c r="AB16">
        <v>2822868</v>
      </c>
      <c r="AC16">
        <v>56864</v>
      </c>
      <c r="AD16">
        <f t="shared" si="6"/>
        <v>0.20066237973625439</v>
      </c>
      <c r="AE16">
        <f t="shared" si="11"/>
        <v>0.16579252529336042</v>
      </c>
      <c r="AF16">
        <f t="shared" si="12"/>
        <v>49.642445132245356</v>
      </c>
      <c r="AH16" s="4">
        <v>2601.5499999999997</v>
      </c>
      <c r="AI16">
        <v>3383892</v>
      </c>
      <c r="AJ16">
        <v>38196</v>
      </c>
      <c r="AK16" s="4">
        <f t="shared" si="7"/>
        <v>4.1799978422821522E-2</v>
      </c>
      <c r="AL16">
        <f t="shared" si="13"/>
        <v>88.592836946277103</v>
      </c>
      <c r="AN16">
        <v>274405</v>
      </c>
      <c r="AO16">
        <v>882776</v>
      </c>
      <c r="AP16">
        <v>27</v>
      </c>
      <c r="AQ16" s="4">
        <v>11.98</v>
      </c>
      <c r="AR16" s="4">
        <f t="shared" si="14"/>
        <v>4.000458780030268</v>
      </c>
      <c r="AT16">
        <v>985185</v>
      </c>
      <c r="AU16" s="4">
        <f t="shared" si="15"/>
        <v>3.4347782396199698</v>
      </c>
      <c r="AV16" s="6"/>
    </row>
    <row r="17" spans="1:48" x14ac:dyDescent="0.2">
      <c r="A17">
        <v>13</v>
      </c>
      <c r="B17">
        <v>10</v>
      </c>
      <c r="C17">
        <v>15000</v>
      </c>
      <c r="E17">
        <v>1732.32</v>
      </c>
      <c r="F17">
        <v>5931296</v>
      </c>
      <c r="G17">
        <v>57922</v>
      </c>
      <c r="H17">
        <v>269856</v>
      </c>
      <c r="I17">
        <f t="shared" si="8"/>
        <v>102.40143641448844</v>
      </c>
      <c r="K17">
        <v>35.65</v>
      </c>
      <c r="L17">
        <v>1589216</v>
      </c>
      <c r="M17" s="6">
        <v>36819</v>
      </c>
      <c r="N17" s="4">
        <f t="shared" si="0"/>
        <v>0.7320626048674691</v>
      </c>
      <c r="O17">
        <f t="shared" si="1"/>
        <v>0.64769768811140194</v>
      </c>
      <c r="P17">
        <f t="shared" si="2"/>
        <v>0.70412597865789006</v>
      </c>
      <c r="Q17">
        <f t="shared" si="9"/>
        <v>43.162932181753987</v>
      </c>
      <c r="S17">
        <v>57.41</v>
      </c>
      <c r="T17">
        <v>1583008</v>
      </c>
      <c r="U17">
        <v>35459</v>
      </c>
      <c r="V17">
        <f t="shared" si="3"/>
        <v>0.73310925639185764</v>
      </c>
      <c r="W17">
        <f t="shared" si="4"/>
        <v>0.64907389672760296</v>
      </c>
      <c r="X17">
        <f t="shared" si="5"/>
        <v>0.70528175982576902</v>
      </c>
      <c r="Y17">
        <f t="shared" si="10"/>
        <v>44.643334555402014</v>
      </c>
      <c r="AA17">
        <v>749.64</v>
      </c>
      <c r="AB17">
        <v>4510944</v>
      </c>
      <c r="AC17">
        <v>84052</v>
      </c>
      <c r="AD17">
        <f t="shared" si="6"/>
        <v>0.23946739464697092</v>
      </c>
      <c r="AE17">
        <f t="shared" si="11"/>
        <v>0.16017008302895094</v>
      </c>
      <c r="AF17">
        <f t="shared" si="12"/>
        <v>53.668490934183602</v>
      </c>
      <c r="AH17" s="4">
        <v>6781.25</v>
      </c>
      <c r="AI17">
        <v>5371259</v>
      </c>
      <c r="AJ17">
        <v>52452</v>
      </c>
      <c r="AK17" s="4">
        <f t="shared" si="7"/>
        <v>9.4420679730028642E-2</v>
      </c>
      <c r="AL17">
        <f t="shared" si="13"/>
        <v>102.40332113170136</v>
      </c>
      <c r="AN17">
        <v>493993</v>
      </c>
      <c r="AO17">
        <v>1143696</v>
      </c>
      <c r="AP17">
        <v>36</v>
      </c>
      <c r="AQ17" s="4">
        <v>17.989999999999998</v>
      </c>
      <c r="AR17" s="4">
        <f t="shared" si="14"/>
        <v>5.1860774191743264</v>
      </c>
      <c r="AT17">
        <v>2504407</v>
      </c>
      <c r="AU17" s="4">
        <f t="shared" si="15"/>
        <v>2.144722882502724</v>
      </c>
      <c r="AV17" s="6"/>
    </row>
    <row r="18" spans="1:48" x14ac:dyDescent="0.2">
      <c r="A18">
        <v>14</v>
      </c>
      <c r="B18">
        <v>10</v>
      </c>
      <c r="C18">
        <v>20000</v>
      </c>
      <c r="E18">
        <v>9234.91</v>
      </c>
      <c r="F18">
        <v>11862592</v>
      </c>
      <c r="G18">
        <v>102556</v>
      </c>
      <c r="H18">
        <v>479938</v>
      </c>
      <c r="I18">
        <f t="shared" si="8"/>
        <v>115.66940988338078</v>
      </c>
      <c r="K18">
        <v>66.44</v>
      </c>
      <c r="L18">
        <v>2744120</v>
      </c>
      <c r="M18" s="6">
        <v>63724</v>
      </c>
      <c r="N18" s="4">
        <f t="shared" si="0"/>
        <v>0.76867450216613709</v>
      </c>
      <c r="O18">
        <f t="shared" si="1"/>
        <v>0.68604872530373229</v>
      </c>
      <c r="P18">
        <f t="shared" si="2"/>
        <v>0.75716407654483664</v>
      </c>
      <c r="Q18">
        <f t="shared" si="9"/>
        <v>43.062582386541962</v>
      </c>
      <c r="S18">
        <v>104.96</v>
      </c>
      <c r="T18">
        <v>2840592</v>
      </c>
      <c r="U18">
        <v>61558</v>
      </c>
      <c r="V18">
        <f t="shared" si="3"/>
        <v>0.76054204679719239</v>
      </c>
      <c r="W18">
        <f t="shared" si="4"/>
        <v>0.67501148663614552</v>
      </c>
      <c r="X18">
        <f t="shared" si="5"/>
        <v>0.74862696183864064</v>
      </c>
      <c r="Y18">
        <f t="shared" si="10"/>
        <v>46.144968972351279</v>
      </c>
      <c r="AA18">
        <v>1209.1400000000001</v>
      </c>
      <c r="AB18">
        <v>8740592</v>
      </c>
      <c r="AC18">
        <v>125565</v>
      </c>
      <c r="AD18">
        <f t="shared" si="6"/>
        <v>0.26318025605196571</v>
      </c>
      <c r="AE18">
        <f t="shared" si="11"/>
        <v>0.22651716037752964</v>
      </c>
      <c r="AF18">
        <f t="shared" si="12"/>
        <v>69.610098355433436</v>
      </c>
      <c r="AH18" s="4">
        <v>11609.75</v>
      </c>
      <c r="AI18">
        <v>11300305</v>
      </c>
      <c r="AJ18">
        <v>97694</v>
      </c>
      <c r="AK18" s="4">
        <f t="shared" si="7"/>
        <v>4.7400011734366317E-2</v>
      </c>
      <c r="AL18">
        <f t="shared" si="13"/>
        <v>115.67040964644707</v>
      </c>
      <c r="AN18">
        <v>423004</v>
      </c>
      <c r="AO18">
        <v>1690024</v>
      </c>
      <c r="AP18">
        <v>45</v>
      </c>
      <c r="AQ18" s="4">
        <v>23.99</v>
      </c>
      <c r="AR18" s="4">
        <f t="shared" si="14"/>
        <v>7.0191855263593892</v>
      </c>
      <c r="AT18">
        <v>4855080</v>
      </c>
      <c r="AU18" s="4">
        <f t="shared" si="15"/>
        <v>2.3275218945928802</v>
      </c>
      <c r="AV18" s="6"/>
    </row>
    <row r="19" spans="1:48" x14ac:dyDescent="0.2">
      <c r="A19">
        <v>15</v>
      </c>
      <c r="B19">
        <v>10</v>
      </c>
      <c r="C19">
        <v>25000</v>
      </c>
      <c r="E19">
        <v>50792.01</v>
      </c>
      <c r="F19">
        <v>12891294</v>
      </c>
      <c r="G19">
        <v>110297</v>
      </c>
      <c r="H19">
        <v>751672</v>
      </c>
      <c r="I19">
        <f t="shared" si="8"/>
        <v>116.87801118797429</v>
      </c>
      <c r="K19">
        <v>109.15</v>
      </c>
      <c r="L19">
        <v>4006876</v>
      </c>
      <c r="M19" s="6">
        <v>84283</v>
      </c>
      <c r="N19" s="4">
        <f t="shared" si="0"/>
        <v>0.68917968979685051</v>
      </c>
      <c r="O19">
        <f t="shared" si="1"/>
        <v>0.61575619066907861</v>
      </c>
      <c r="P19">
        <f t="shared" si="2"/>
        <v>0.67047690055471298</v>
      </c>
      <c r="Q19">
        <f t="shared" si="9"/>
        <v>47.540737752571694</v>
      </c>
      <c r="S19">
        <v>168.04</v>
      </c>
      <c r="T19">
        <v>3997952</v>
      </c>
      <c r="U19">
        <v>83206</v>
      </c>
      <c r="V19">
        <f t="shared" si="3"/>
        <v>0.68987193993093321</v>
      </c>
      <c r="W19">
        <f t="shared" si="4"/>
        <v>0.61661196752727665</v>
      </c>
      <c r="X19">
        <f t="shared" si="5"/>
        <v>0.6712108050078206</v>
      </c>
      <c r="Y19">
        <f t="shared" si="10"/>
        <v>48.048842631540992</v>
      </c>
      <c r="AA19">
        <v>1668.64</v>
      </c>
      <c r="AB19">
        <v>10427952</v>
      </c>
      <c r="AC19">
        <v>129221</v>
      </c>
      <c r="AD19">
        <f t="shared" si="6"/>
        <v>0.19108570481753034</v>
      </c>
      <c r="AE19">
        <f t="shared" si="11"/>
        <v>0.14241142877726207</v>
      </c>
      <c r="AF19">
        <f t="shared" si="12"/>
        <v>80.698586143119158</v>
      </c>
      <c r="AH19" s="4">
        <v>14829.849999999999</v>
      </c>
      <c r="AI19">
        <v>12159621</v>
      </c>
      <c r="AJ19">
        <v>104036</v>
      </c>
      <c r="AK19" s="4">
        <f t="shared" si="7"/>
        <v>5.6757141680268873E-2</v>
      </c>
      <c r="AL19">
        <f t="shared" si="13"/>
        <v>116.87897458572033</v>
      </c>
      <c r="AN19">
        <v>920941</v>
      </c>
      <c r="AO19">
        <v>4196220</v>
      </c>
      <c r="AP19">
        <v>55</v>
      </c>
      <c r="AQ19" s="4">
        <v>30.06</v>
      </c>
      <c r="AR19" s="4">
        <f t="shared" si="14"/>
        <v>3.0721206228462759</v>
      </c>
      <c r="AT19">
        <v>2798271</v>
      </c>
      <c r="AU19" s="4">
        <f t="shared" si="15"/>
        <v>4.3454050733470773</v>
      </c>
      <c r="AV19" s="6"/>
    </row>
    <row r="20" spans="1:48" x14ac:dyDescent="0.2">
      <c r="A20">
        <v>16</v>
      </c>
      <c r="B20">
        <v>10</v>
      </c>
      <c r="C20">
        <v>30000</v>
      </c>
      <c r="H20">
        <v>1080640</v>
      </c>
      <c r="K20">
        <v>163.15</v>
      </c>
      <c r="L20">
        <v>6156725</v>
      </c>
      <c r="M20" s="6">
        <v>127413</v>
      </c>
      <c r="O20">
        <f t="shared" si="1"/>
        <v>0.52836154506374644</v>
      </c>
      <c r="P20">
        <f t="shared" si="2"/>
        <v>0.60366517616572668</v>
      </c>
      <c r="Q20">
        <f t="shared" si="9"/>
        <v>48.321011199799081</v>
      </c>
      <c r="S20">
        <v>253.59</v>
      </c>
      <c r="T20">
        <v>6413256</v>
      </c>
      <c r="U20">
        <v>126607</v>
      </c>
      <c r="W20">
        <f t="shared" si="4"/>
        <v>0.50870988212878476</v>
      </c>
      <c r="X20">
        <f t="shared" si="5"/>
        <v>0.58715117420964946</v>
      </c>
      <c r="Y20">
        <f t="shared" si="10"/>
        <v>50.654829511796343</v>
      </c>
      <c r="AA20">
        <v>2128.14</v>
      </c>
      <c r="AB20">
        <v>13053908</v>
      </c>
      <c r="AC20">
        <v>155867</v>
      </c>
      <c r="AE20">
        <f t="shared" si="11"/>
        <v>0.15966389151232019</v>
      </c>
      <c r="AF20">
        <f t="shared" si="12"/>
        <v>83.75029993520117</v>
      </c>
      <c r="AH20" s="4">
        <v>18913.650000000001</v>
      </c>
      <c r="AI20">
        <v>15534151</v>
      </c>
      <c r="AJ20">
        <v>150000</v>
      </c>
      <c r="AL20">
        <f t="shared" si="13"/>
        <v>103.56100666666667</v>
      </c>
      <c r="AO20" t="s">
        <v>52</v>
      </c>
      <c r="AQ20" s="56"/>
      <c r="AR20" s="4">
        <f>AVERAGE(AR5:AR19)</f>
        <v>2.6322054466301097</v>
      </c>
      <c r="AT20">
        <v>6135807</v>
      </c>
      <c r="AU20" s="4">
        <f t="shared" si="15"/>
        <v>2.5317209292925935</v>
      </c>
      <c r="AV20" s="6"/>
    </row>
    <row r="21" spans="1:48" x14ac:dyDescent="0.2">
      <c r="A21">
        <v>17</v>
      </c>
      <c r="B21">
        <v>10</v>
      </c>
      <c r="C21">
        <v>35000</v>
      </c>
      <c r="H21">
        <v>1470142</v>
      </c>
      <c r="K21">
        <v>231.98</v>
      </c>
      <c r="L21">
        <v>7832598</v>
      </c>
      <c r="M21" s="6">
        <v>155445</v>
      </c>
      <c r="O21">
        <f t="shared" si="1"/>
        <v>0.5750799051359109</v>
      </c>
      <c r="P21">
        <f t="shared" si="2"/>
        <v>0.65453651067849239</v>
      </c>
      <c r="Q21">
        <f t="shared" si="9"/>
        <v>50.388227347293252</v>
      </c>
      <c r="S21">
        <v>357.76</v>
      </c>
      <c r="T21">
        <v>8158958</v>
      </c>
      <c r="U21">
        <v>154709</v>
      </c>
      <c r="W21">
        <f t="shared" si="4"/>
        <v>0.55737480624537106</v>
      </c>
      <c r="X21">
        <f t="shared" si="5"/>
        <v>0.6401421214381704</v>
      </c>
      <c r="Y21">
        <f t="shared" si="10"/>
        <v>52.737449017187103</v>
      </c>
      <c r="AA21">
        <v>2587.64</v>
      </c>
      <c r="AB21">
        <v>18433108</v>
      </c>
      <c r="AC21">
        <v>186291</v>
      </c>
      <c r="AE21">
        <f t="shared" si="11"/>
        <v>0.18699187565604714</v>
      </c>
      <c r="AF21">
        <f t="shared" si="12"/>
        <v>98.947925557326982</v>
      </c>
      <c r="AH21" s="4">
        <v>25256.100000000002</v>
      </c>
      <c r="AI21">
        <v>22672723</v>
      </c>
      <c r="AJ21">
        <v>170660</v>
      </c>
      <c r="AL21">
        <f t="shared" si="13"/>
        <v>132.8531759053088</v>
      </c>
      <c r="AQ21" s="56"/>
      <c r="AT21">
        <v>7276898</v>
      </c>
      <c r="AU21" s="4">
        <f t="shared" si="15"/>
        <v>3.1157126291999697</v>
      </c>
      <c r="AV21" s="6"/>
    </row>
    <row r="22" spans="1:48" x14ac:dyDescent="0.2">
      <c r="A22">
        <v>18</v>
      </c>
      <c r="B22">
        <v>10</v>
      </c>
      <c r="C22">
        <v>40000</v>
      </c>
      <c r="H22">
        <v>1919224</v>
      </c>
      <c r="K22">
        <v>316.45999999999998</v>
      </c>
      <c r="L22">
        <v>11825328</v>
      </c>
      <c r="M22" s="6">
        <v>216196</v>
      </c>
      <c r="O22">
        <f t="shared" si="1"/>
        <v>0.57020981320619024</v>
      </c>
      <c r="P22">
        <f t="shared" si="2"/>
        <v>0.66752255561420182</v>
      </c>
      <c r="Q22">
        <f t="shared" si="9"/>
        <v>54.697256193454088</v>
      </c>
      <c r="S22">
        <v>496.71</v>
      </c>
      <c r="T22">
        <v>12318050</v>
      </c>
      <c r="U22">
        <v>219719</v>
      </c>
      <c r="W22">
        <f t="shared" si="4"/>
        <v>0.55230188875644814</v>
      </c>
      <c r="X22">
        <f t="shared" si="5"/>
        <v>0.65366932876479356</v>
      </c>
      <c r="Y22">
        <f t="shared" si="10"/>
        <v>56.062743777279159</v>
      </c>
      <c r="AA22">
        <v>3047.14</v>
      </c>
      <c r="AB22">
        <v>27514188</v>
      </c>
      <c r="AC22">
        <v>197895</v>
      </c>
      <c r="AE22">
        <f t="shared" si="11"/>
        <v>0.22641918172668052</v>
      </c>
      <c r="AF22">
        <f t="shared" si="12"/>
        <v>139.03427575229287</v>
      </c>
      <c r="AH22" s="4">
        <v>28532.15</v>
      </c>
      <c r="AI22">
        <v>35567309</v>
      </c>
      <c r="AJ22">
        <v>195885</v>
      </c>
      <c r="AL22">
        <f t="shared" si="13"/>
        <v>181.57239706970927</v>
      </c>
      <c r="AQ22" s="56"/>
      <c r="AT22">
        <v>18914981</v>
      </c>
      <c r="AU22" s="4">
        <f t="shared" si="15"/>
        <v>1.8803777281087408</v>
      </c>
      <c r="AV22" s="6"/>
    </row>
    <row r="23" spans="1:48" x14ac:dyDescent="0.2">
      <c r="A23">
        <v>19</v>
      </c>
      <c r="B23">
        <v>10</v>
      </c>
      <c r="C23">
        <v>45000</v>
      </c>
      <c r="H23">
        <v>2429382</v>
      </c>
      <c r="K23">
        <v>415.75</v>
      </c>
      <c r="L23">
        <v>25355318</v>
      </c>
      <c r="M23" s="6">
        <v>420429</v>
      </c>
      <c r="O23">
        <f t="shared" si="1"/>
        <v>0.60378255634382039</v>
      </c>
      <c r="P23">
        <f t="shared" si="2"/>
        <v>0.67254756798749971</v>
      </c>
      <c r="Q23">
        <f t="shared" si="9"/>
        <v>60.308204239003494</v>
      </c>
      <c r="S23">
        <v>653.14</v>
      </c>
      <c r="T23">
        <v>36411790</v>
      </c>
      <c r="U23">
        <v>623069</v>
      </c>
      <c r="W23">
        <f t="shared" si="4"/>
        <v>0.43100747729743932</v>
      </c>
      <c r="X23">
        <f t="shared" si="5"/>
        <v>0.5297582467934957</v>
      </c>
      <c r="Y23">
        <f t="shared" si="10"/>
        <v>58.43941842717259</v>
      </c>
      <c r="AA23">
        <v>3506.64</v>
      </c>
      <c r="AB23">
        <v>63993442</v>
      </c>
      <c r="AC23">
        <v>294407</v>
      </c>
      <c r="AE23">
        <f t="shared" si="11"/>
        <v>0.17355372092943666</v>
      </c>
      <c r="AF23">
        <f t="shared" si="12"/>
        <v>217.36386023430148</v>
      </c>
      <c r="AH23" s="4">
        <v>33112.9</v>
      </c>
      <c r="AI23">
        <v>77432065</v>
      </c>
      <c r="AJ23">
        <v>273766</v>
      </c>
      <c r="AL23">
        <f t="shared" si="13"/>
        <v>282.84032714069679</v>
      </c>
      <c r="AQ23" s="56"/>
      <c r="AT23">
        <v>13045096</v>
      </c>
      <c r="AU23" s="4">
        <f t="shared" si="15"/>
        <v>5.9357221288367672</v>
      </c>
      <c r="AV23" s="6"/>
    </row>
    <row r="24" spans="1:48" x14ac:dyDescent="0.2">
      <c r="A24">
        <v>20</v>
      </c>
      <c r="B24">
        <v>10</v>
      </c>
      <c r="C24">
        <v>50000</v>
      </c>
      <c r="H24">
        <v>3000132</v>
      </c>
      <c r="K24">
        <v>530.86</v>
      </c>
      <c r="L24">
        <v>31567586</v>
      </c>
      <c r="M24" s="6">
        <v>541163</v>
      </c>
      <c r="O24">
        <f t="shared" si="1"/>
        <v>0.61083766712761545</v>
      </c>
      <c r="P24">
        <f t="shared" si="2"/>
        <v>0.67424732297659173</v>
      </c>
      <c r="Q24">
        <f t="shared" si="9"/>
        <v>58.332860894037474</v>
      </c>
      <c r="S24">
        <v>860.19</v>
      </c>
      <c r="T24">
        <v>32882904</v>
      </c>
      <c r="U24">
        <v>559605</v>
      </c>
      <c r="W24">
        <f t="shared" si="4"/>
        <v>0.59462254629610678</v>
      </c>
      <c r="X24">
        <f t="shared" si="5"/>
        <v>0.6606742749887895</v>
      </c>
      <c r="Y24">
        <f t="shared" si="10"/>
        <v>58.760918862411877</v>
      </c>
      <c r="AA24">
        <v>3966.14</v>
      </c>
      <c r="AB24">
        <v>81116756</v>
      </c>
      <c r="AC24">
        <v>303410</v>
      </c>
      <c r="AE24">
        <f t="shared" si="11"/>
        <v>0.16293883167200007</v>
      </c>
      <c r="AF24">
        <f t="shared" si="12"/>
        <v>267.35030486800042</v>
      </c>
      <c r="AH24" s="4">
        <v>39025.599999999999</v>
      </c>
      <c r="AI24">
        <v>96906605</v>
      </c>
      <c r="AJ24">
        <v>355000</v>
      </c>
      <c r="AL24">
        <f t="shared" si="13"/>
        <v>272.97635211267607</v>
      </c>
      <c r="AQ24" s="56"/>
      <c r="AT24">
        <v>28218359</v>
      </c>
      <c r="AU24" s="4">
        <f t="shared" si="15"/>
        <v>3.4341686913827978</v>
      </c>
      <c r="AV24" s="6"/>
    </row>
    <row r="25" spans="1:48" x14ac:dyDescent="0.2">
      <c r="A25">
        <v>21</v>
      </c>
      <c r="B25">
        <v>10</v>
      </c>
      <c r="C25">
        <v>55000</v>
      </c>
      <c r="H25">
        <v>3628652</v>
      </c>
      <c r="K25">
        <v>672.84</v>
      </c>
      <c r="L25">
        <v>36707166</v>
      </c>
      <c r="M25" s="6">
        <v>643411</v>
      </c>
      <c r="O25">
        <f t="shared" si="1"/>
        <v>0.58097829271440793</v>
      </c>
      <c r="P25">
        <f t="shared" si="2"/>
        <v>0.63243709953478622</v>
      </c>
      <c r="Q25">
        <f t="shared" si="9"/>
        <v>57.050883494376066</v>
      </c>
      <c r="S25">
        <v>1067.24</v>
      </c>
      <c r="T25">
        <v>38236632</v>
      </c>
      <c r="U25">
        <v>656499</v>
      </c>
      <c r="W25">
        <f t="shared" si="4"/>
        <v>0.56351904634939931</v>
      </c>
      <c r="X25">
        <f t="shared" si="5"/>
        <v>0.61712197117203205</v>
      </c>
      <c r="Y25">
        <f t="shared" si="10"/>
        <v>58.243244848811649</v>
      </c>
      <c r="AA25">
        <v>4425.6400000000003</v>
      </c>
      <c r="AB25">
        <v>87602063</v>
      </c>
      <c r="AC25">
        <v>423297</v>
      </c>
      <c r="AE25">
        <f t="shared" si="11"/>
        <v>0.12280701912492008</v>
      </c>
      <c r="AF25">
        <f t="shared" si="12"/>
        <v>206.95176908884306</v>
      </c>
      <c r="AH25" s="4">
        <v>41087.9</v>
      </c>
      <c r="AI25">
        <v>99866352</v>
      </c>
      <c r="AJ25">
        <v>342653</v>
      </c>
      <c r="AL25">
        <f t="shared" si="13"/>
        <v>291.45039442234565</v>
      </c>
      <c r="AQ25" s="56"/>
      <c r="AT25">
        <v>46782944</v>
      </c>
      <c r="AU25" s="4">
        <f t="shared" si="15"/>
        <v>2.1346743804750723</v>
      </c>
      <c r="AV25" s="6"/>
    </row>
    <row r="26" spans="1:48" x14ac:dyDescent="0.2">
      <c r="A26">
        <v>22</v>
      </c>
      <c r="B26">
        <v>10</v>
      </c>
      <c r="C26">
        <v>60000</v>
      </c>
      <c r="H26">
        <v>4319934</v>
      </c>
      <c r="K26">
        <v>838.03</v>
      </c>
      <c r="L26">
        <v>43814448</v>
      </c>
      <c r="M26" s="6">
        <v>793905</v>
      </c>
      <c r="O26">
        <f t="shared" si="1"/>
        <v>0.63567472170361794</v>
      </c>
      <c r="P26">
        <f t="shared" si="2"/>
        <v>0.70695987982414721</v>
      </c>
      <c r="Q26">
        <f t="shared" si="9"/>
        <v>55.188527594611443</v>
      </c>
      <c r="S26">
        <v>1874.29</v>
      </c>
      <c r="T26">
        <v>45640047</v>
      </c>
      <c r="U26">
        <v>789693</v>
      </c>
      <c r="W26">
        <f t="shared" si="4"/>
        <v>0.62049452672015959</v>
      </c>
      <c r="X26">
        <f t="shared" si="5"/>
        <v>0.69474989488144256</v>
      </c>
      <c r="Y26">
        <f t="shared" si="10"/>
        <v>57.794670840440524</v>
      </c>
      <c r="AA26">
        <v>4885.1400000000003</v>
      </c>
      <c r="AB26">
        <v>120261894</v>
      </c>
      <c r="AC26">
        <v>564092</v>
      </c>
      <c r="AE26">
        <f t="shared" si="11"/>
        <v>0.19566349733915014</v>
      </c>
      <c r="AF26">
        <f t="shared" si="12"/>
        <v>213.19553193450713</v>
      </c>
      <c r="AH26" s="4">
        <v>45354.6</v>
      </c>
      <c r="AI26">
        <v>149516892</v>
      </c>
      <c r="AJ26">
        <v>492560</v>
      </c>
      <c r="AL26">
        <f t="shared" si="13"/>
        <v>303.55061718369336</v>
      </c>
      <c r="AQ26" s="56"/>
      <c r="AT26" t="s">
        <v>52</v>
      </c>
      <c r="AU26" s="4">
        <f ca="1">AVERAGE(AU5:AU26)</f>
        <v>2.8997056339862035</v>
      </c>
      <c r="AV26" s="6"/>
    </row>
  </sheetData>
  <mergeCells count="7">
    <mergeCell ref="AT2:AU2"/>
    <mergeCell ref="E2:H2"/>
    <mergeCell ref="K2:O2"/>
    <mergeCell ref="S2:W2"/>
    <mergeCell ref="AA2:AE2"/>
    <mergeCell ref="AH2:AL2"/>
    <mergeCell ref="AN2:AR2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0A30-06BD-EE47-BF61-4C8D60D0B521}">
  <dimension ref="A1:E18"/>
  <sheetViews>
    <sheetView workbookViewId="0">
      <selection sqref="A1:E18"/>
    </sheetView>
  </sheetViews>
  <sheetFormatPr baseColWidth="10" defaultRowHeight="15" x14ac:dyDescent="0.2"/>
  <cols>
    <col min="1" max="1" width="12" bestFit="1" customWidth="1"/>
    <col min="2" max="2" width="14.5" bestFit="1" customWidth="1"/>
    <col min="3" max="3" width="19.5" bestFit="1" customWidth="1"/>
    <col min="4" max="4" width="19.5" customWidth="1"/>
    <col min="5" max="5" width="13" bestFit="1" customWidth="1"/>
  </cols>
  <sheetData>
    <row r="1" spans="1:5" x14ac:dyDescent="0.2">
      <c r="A1" t="s">
        <v>57</v>
      </c>
      <c r="B1" t="s">
        <v>58</v>
      </c>
      <c r="C1" t="s">
        <v>59</v>
      </c>
      <c r="D1" t="s">
        <v>60</v>
      </c>
      <c r="E1" t="s">
        <v>61</v>
      </c>
    </row>
    <row r="2" spans="1:5" x14ac:dyDescent="0.2">
      <c r="A2" s="54">
        <v>7</v>
      </c>
      <c r="B2" s="54">
        <v>4</v>
      </c>
      <c r="C2" s="54">
        <v>6</v>
      </c>
      <c r="D2" s="54">
        <v>3</v>
      </c>
      <c r="E2" s="55">
        <f>A2/C2</f>
        <v>1.1666666666666667</v>
      </c>
    </row>
    <row r="3" spans="1:5" x14ac:dyDescent="0.2">
      <c r="A3" s="54">
        <v>8</v>
      </c>
      <c r="B3" s="54">
        <v>4</v>
      </c>
      <c r="C3" s="54">
        <v>6</v>
      </c>
      <c r="D3" s="54">
        <v>4</v>
      </c>
      <c r="E3" s="55">
        <f t="shared" ref="E3:E18" si="0">A3/C3</f>
        <v>1.3333333333333333</v>
      </c>
    </row>
    <row r="4" spans="1:5" x14ac:dyDescent="0.2">
      <c r="A4" s="54">
        <v>9</v>
      </c>
      <c r="B4" s="54">
        <v>4</v>
      </c>
      <c r="C4" s="54">
        <v>8</v>
      </c>
      <c r="D4" s="54">
        <v>7</v>
      </c>
      <c r="E4" s="55">
        <f t="shared" si="0"/>
        <v>1.125</v>
      </c>
    </row>
    <row r="5" spans="1:5" x14ac:dyDescent="0.2">
      <c r="A5" s="54">
        <v>11</v>
      </c>
      <c r="B5" s="54">
        <v>4</v>
      </c>
      <c r="C5" s="54">
        <v>10</v>
      </c>
      <c r="D5" s="54">
        <v>10</v>
      </c>
      <c r="E5" s="55">
        <f t="shared" si="0"/>
        <v>1.1000000000000001</v>
      </c>
    </row>
    <row r="6" spans="1:5" x14ac:dyDescent="0.2">
      <c r="A6" s="54">
        <v>13</v>
      </c>
      <c r="B6" s="54">
        <v>4</v>
      </c>
      <c r="C6" s="54">
        <v>10</v>
      </c>
      <c r="D6" s="54">
        <v>13</v>
      </c>
      <c r="E6" s="55">
        <f t="shared" si="0"/>
        <v>1.3</v>
      </c>
    </row>
    <row r="7" spans="1:5" x14ac:dyDescent="0.2">
      <c r="A7" s="54">
        <v>14</v>
      </c>
      <c r="B7" s="54">
        <v>4</v>
      </c>
      <c r="C7" s="54">
        <v>11</v>
      </c>
      <c r="D7" s="54">
        <v>15</v>
      </c>
      <c r="E7" s="55">
        <f t="shared" si="0"/>
        <v>1.2727272727272727</v>
      </c>
    </row>
    <row r="8" spans="1:5" x14ac:dyDescent="0.2">
      <c r="A8" s="54">
        <v>14</v>
      </c>
      <c r="B8" s="54">
        <v>4</v>
      </c>
      <c r="C8" s="54">
        <v>11</v>
      </c>
      <c r="D8" s="54">
        <v>15</v>
      </c>
      <c r="E8" s="55">
        <f t="shared" si="0"/>
        <v>1.2727272727272727</v>
      </c>
    </row>
    <row r="9" spans="1:5" x14ac:dyDescent="0.2">
      <c r="A9" s="54">
        <v>16</v>
      </c>
      <c r="B9" s="54">
        <v>4</v>
      </c>
      <c r="C9" s="54">
        <v>11</v>
      </c>
      <c r="D9" s="54">
        <v>18</v>
      </c>
      <c r="E9" s="55">
        <f t="shared" si="0"/>
        <v>1.4545454545454546</v>
      </c>
    </row>
    <row r="10" spans="1:5" x14ac:dyDescent="0.2">
      <c r="A10" s="54">
        <v>16</v>
      </c>
      <c r="B10" s="54">
        <v>4</v>
      </c>
      <c r="C10" s="54">
        <v>12</v>
      </c>
      <c r="D10" s="54">
        <v>20</v>
      </c>
      <c r="E10" s="55">
        <f t="shared" si="0"/>
        <v>1.3333333333333333</v>
      </c>
    </row>
    <row r="11" spans="1:5" x14ac:dyDescent="0.2">
      <c r="A11" s="54">
        <v>16</v>
      </c>
      <c r="B11" s="54">
        <v>4</v>
      </c>
      <c r="C11" s="54">
        <v>14</v>
      </c>
      <c r="D11" s="54">
        <v>22</v>
      </c>
      <c r="E11" s="55">
        <f t="shared" si="0"/>
        <v>1.1428571428571428</v>
      </c>
    </row>
    <row r="12" spans="1:5" x14ac:dyDescent="0.2">
      <c r="A12" s="54">
        <v>19</v>
      </c>
      <c r="B12" s="54">
        <v>4</v>
      </c>
      <c r="C12" s="54">
        <v>16</v>
      </c>
      <c r="D12" s="54">
        <v>36</v>
      </c>
      <c r="E12" s="55">
        <f t="shared" si="0"/>
        <v>1.1875</v>
      </c>
    </row>
    <row r="13" spans="1:5" x14ac:dyDescent="0.2">
      <c r="A13" s="54">
        <v>20</v>
      </c>
      <c r="B13" s="54">
        <v>4</v>
      </c>
      <c r="C13" s="54">
        <v>19</v>
      </c>
      <c r="D13" s="54">
        <v>60</v>
      </c>
      <c r="E13" s="55">
        <f t="shared" si="0"/>
        <v>1.0526315789473684</v>
      </c>
    </row>
    <row r="14" spans="1:5" x14ac:dyDescent="0.2">
      <c r="A14" s="54">
        <v>20</v>
      </c>
      <c r="B14" s="54">
        <v>4</v>
      </c>
      <c r="C14" s="54">
        <v>20</v>
      </c>
      <c r="D14" s="54">
        <v>80</v>
      </c>
      <c r="E14" s="55">
        <f t="shared" si="0"/>
        <v>1</v>
      </c>
    </row>
    <row r="15" spans="1:5" x14ac:dyDescent="0.2">
      <c r="A15" s="54">
        <v>20</v>
      </c>
      <c r="B15" s="54">
        <v>4</v>
      </c>
      <c r="C15" s="54">
        <v>20</v>
      </c>
      <c r="D15" s="54">
        <v>102</v>
      </c>
      <c r="E15" s="55">
        <f t="shared" si="0"/>
        <v>1</v>
      </c>
    </row>
    <row r="16" spans="1:5" x14ac:dyDescent="0.2">
      <c r="A16" s="54">
        <v>20</v>
      </c>
      <c r="B16" s="54">
        <v>4</v>
      </c>
      <c r="C16" s="54">
        <v>20</v>
      </c>
      <c r="D16" s="54">
        <v>120</v>
      </c>
      <c r="E16" s="55">
        <f t="shared" si="0"/>
        <v>1</v>
      </c>
    </row>
    <row r="17" spans="1:5" x14ac:dyDescent="0.2">
      <c r="A17" s="54">
        <v>20</v>
      </c>
      <c r="B17" s="54">
        <v>4</v>
      </c>
      <c r="C17" s="54">
        <v>20</v>
      </c>
      <c r="D17" s="54">
        <v>130</v>
      </c>
      <c r="E17" s="55">
        <f t="shared" si="0"/>
        <v>1</v>
      </c>
    </row>
    <row r="18" spans="1:5" x14ac:dyDescent="0.2">
      <c r="A18" s="54">
        <v>20</v>
      </c>
      <c r="B18" s="54">
        <v>4</v>
      </c>
      <c r="C18" s="54">
        <v>20</v>
      </c>
      <c r="D18" s="54">
        <v>154</v>
      </c>
      <c r="E18" s="55">
        <f t="shared" si="0"/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1D38E-6269-3A4D-9F76-C5B55836BC8A}">
  <dimension ref="C5:V37"/>
  <sheetViews>
    <sheetView workbookViewId="0">
      <selection activeCell="I29" sqref="I29:V37"/>
    </sheetView>
  </sheetViews>
  <sheetFormatPr baseColWidth="10" defaultRowHeight="15" x14ac:dyDescent="0.2"/>
  <cols>
    <col min="3" max="3" width="7.5" bestFit="1" customWidth="1"/>
    <col min="4" max="4" width="3.1640625" bestFit="1" customWidth="1"/>
    <col min="5" max="6" width="6.1640625" bestFit="1" customWidth="1"/>
    <col min="9" max="9" width="7.5" bestFit="1" customWidth="1"/>
    <col min="10" max="10" width="3.1640625" bestFit="1" customWidth="1"/>
    <col min="11" max="11" width="5.1640625" bestFit="1" customWidth="1"/>
    <col min="12" max="12" width="3.1640625" bestFit="1" customWidth="1"/>
    <col min="13" max="13" width="3.33203125" customWidth="1"/>
    <col min="14" max="14" width="7.5" bestFit="1" customWidth="1"/>
    <col min="15" max="15" width="3.1640625" bestFit="1" customWidth="1"/>
    <col min="16" max="16" width="6.1640625" bestFit="1" customWidth="1"/>
    <col min="17" max="17" width="5.1640625" bestFit="1" customWidth="1"/>
    <col min="18" max="18" width="3.33203125" customWidth="1"/>
    <col min="19" max="19" width="7.5" bestFit="1" customWidth="1"/>
    <col min="20" max="20" width="3.1640625" bestFit="1" customWidth="1"/>
    <col min="21" max="22" width="6.1640625" bestFit="1" customWidth="1"/>
  </cols>
  <sheetData>
    <row r="5" spans="3:6" x14ac:dyDescent="0.2">
      <c r="C5" t="s">
        <v>1</v>
      </c>
      <c r="D5" t="s">
        <v>22</v>
      </c>
      <c r="E5" t="s">
        <v>23</v>
      </c>
      <c r="F5" t="s">
        <v>24</v>
      </c>
    </row>
    <row r="6" spans="3:6" x14ac:dyDescent="0.2">
      <c r="C6">
        <v>1</v>
      </c>
      <c r="D6">
        <v>2</v>
      </c>
      <c r="E6">
        <v>100</v>
      </c>
      <c r="F6">
        <v>0</v>
      </c>
    </row>
    <row r="7" spans="3:6" x14ac:dyDescent="0.2">
      <c r="C7">
        <v>2</v>
      </c>
      <c r="D7">
        <v>5</v>
      </c>
      <c r="E7">
        <v>100</v>
      </c>
      <c r="F7">
        <v>0</v>
      </c>
    </row>
    <row r="8" spans="3:6" x14ac:dyDescent="0.2">
      <c r="C8">
        <v>3</v>
      </c>
      <c r="D8">
        <v>5</v>
      </c>
      <c r="E8">
        <v>200</v>
      </c>
      <c r="F8">
        <v>0</v>
      </c>
    </row>
    <row r="9" spans="3:6" x14ac:dyDescent="0.2">
      <c r="C9">
        <v>4</v>
      </c>
      <c r="D9">
        <v>5</v>
      </c>
      <c r="E9">
        <v>500</v>
      </c>
      <c r="F9">
        <v>2</v>
      </c>
    </row>
    <row r="10" spans="3:6" x14ac:dyDescent="0.2">
      <c r="C10">
        <v>5</v>
      </c>
      <c r="D10">
        <v>5</v>
      </c>
      <c r="E10">
        <v>700</v>
      </c>
      <c r="F10">
        <v>4</v>
      </c>
    </row>
    <row r="11" spans="3:6" x14ac:dyDescent="0.2">
      <c r="C11">
        <v>6</v>
      </c>
      <c r="D11">
        <v>5</v>
      </c>
      <c r="E11">
        <v>1000</v>
      </c>
      <c r="F11">
        <v>12</v>
      </c>
    </row>
    <row r="12" spans="3:6" x14ac:dyDescent="0.2">
      <c r="C12">
        <v>7</v>
      </c>
      <c r="D12">
        <v>10</v>
      </c>
      <c r="E12">
        <v>1000</v>
      </c>
      <c r="F12">
        <v>12</v>
      </c>
    </row>
    <row r="13" spans="3:6" x14ac:dyDescent="0.2">
      <c r="C13">
        <v>8</v>
      </c>
      <c r="D13">
        <v>10</v>
      </c>
      <c r="E13">
        <v>2000</v>
      </c>
      <c r="F13">
        <v>56</v>
      </c>
    </row>
    <row r="14" spans="3:6" x14ac:dyDescent="0.2">
      <c r="C14">
        <v>9</v>
      </c>
      <c r="D14">
        <v>10</v>
      </c>
      <c r="E14">
        <v>3000</v>
      </c>
      <c r="F14">
        <v>122</v>
      </c>
    </row>
    <row r="15" spans="3:6" x14ac:dyDescent="0.2">
      <c r="C15">
        <v>10</v>
      </c>
      <c r="D15">
        <v>10</v>
      </c>
      <c r="E15">
        <v>4000</v>
      </c>
      <c r="F15">
        <v>244</v>
      </c>
    </row>
    <row r="16" spans="3:6" x14ac:dyDescent="0.2">
      <c r="C16">
        <v>11</v>
      </c>
      <c r="D16">
        <v>10</v>
      </c>
      <c r="E16">
        <v>5000</v>
      </c>
      <c r="F16">
        <v>392</v>
      </c>
    </row>
    <row r="17" spans="3:22" x14ac:dyDescent="0.2">
      <c r="C17">
        <v>12</v>
      </c>
      <c r="D17">
        <v>10</v>
      </c>
      <c r="E17">
        <v>10000</v>
      </c>
      <c r="F17">
        <v>1606</v>
      </c>
    </row>
    <row r="18" spans="3:22" x14ac:dyDescent="0.2">
      <c r="C18">
        <v>13</v>
      </c>
      <c r="D18">
        <v>10</v>
      </c>
      <c r="E18">
        <v>15000</v>
      </c>
      <c r="F18">
        <v>3548</v>
      </c>
    </row>
    <row r="19" spans="3:22" x14ac:dyDescent="0.2">
      <c r="C19">
        <v>14</v>
      </c>
      <c r="D19">
        <v>10</v>
      </c>
      <c r="E19">
        <v>20000</v>
      </c>
      <c r="F19">
        <v>6100</v>
      </c>
    </row>
    <row r="20" spans="3:22" x14ac:dyDescent="0.2">
      <c r="C20">
        <v>15</v>
      </c>
      <c r="D20">
        <v>10</v>
      </c>
      <c r="E20">
        <v>25000</v>
      </c>
      <c r="F20">
        <v>9472</v>
      </c>
    </row>
    <row r="21" spans="3:22" x14ac:dyDescent="0.2">
      <c r="C21">
        <v>16</v>
      </c>
      <c r="D21">
        <v>10</v>
      </c>
      <c r="E21">
        <v>30000</v>
      </c>
      <c r="F21">
        <v>13646</v>
      </c>
    </row>
    <row r="22" spans="3:22" x14ac:dyDescent="0.2">
      <c r="C22">
        <v>17</v>
      </c>
      <c r="D22">
        <v>10</v>
      </c>
      <c r="E22">
        <v>35000</v>
      </c>
      <c r="F22">
        <v>18388</v>
      </c>
    </row>
    <row r="23" spans="3:22" x14ac:dyDescent="0.2">
      <c r="C23">
        <v>18</v>
      </c>
      <c r="D23">
        <v>10</v>
      </c>
      <c r="E23">
        <v>40000</v>
      </c>
      <c r="F23">
        <v>23990</v>
      </c>
    </row>
    <row r="24" spans="3:22" x14ac:dyDescent="0.2">
      <c r="C24">
        <v>19</v>
      </c>
      <c r="D24">
        <v>10</v>
      </c>
      <c r="E24">
        <v>45000</v>
      </c>
      <c r="F24">
        <v>30476</v>
      </c>
    </row>
    <row r="25" spans="3:22" x14ac:dyDescent="0.2">
      <c r="C25">
        <v>20</v>
      </c>
      <c r="D25">
        <v>10</v>
      </c>
      <c r="E25">
        <v>50000</v>
      </c>
      <c r="F25">
        <v>37502</v>
      </c>
    </row>
    <row r="26" spans="3:22" x14ac:dyDescent="0.2">
      <c r="C26">
        <v>21</v>
      </c>
      <c r="D26">
        <v>10</v>
      </c>
      <c r="E26">
        <v>55000</v>
      </c>
      <c r="F26">
        <v>44992</v>
      </c>
    </row>
    <row r="27" spans="3:22" x14ac:dyDescent="0.2">
      <c r="C27">
        <v>22</v>
      </c>
      <c r="D27">
        <v>10</v>
      </c>
      <c r="E27">
        <v>60000</v>
      </c>
      <c r="F27">
        <v>53644</v>
      </c>
    </row>
    <row r="29" spans="3:22" x14ac:dyDescent="0.2">
      <c r="I29" s="58" t="s">
        <v>21</v>
      </c>
      <c r="J29" s="58"/>
      <c r="K29" s="58"/>
      <c r="L29" s="58"/>
      <c r="M29" s="21"/>
      <c r="N29" s="58" t="s">
        <v>25</v>
      </c>
      <c r="O29" s="58"/>
      <c r="P29" s="58"/>
      <c r="Q29" s="58"/>
      <c r="R29" s="21"/>
      <c r="S29" s="58" t="s">
        <v>26</v>
      </c>
      <c r="T29" s="58"/>
      <c r="U29" s="58"/>
      <c r="V29" s="58"/>
    </row>
    <row r="30" spans="3:22" x14ac:dyDescent="0.2">
      <c r="I30" s="21" t="s">
        <v>1</v>
      </c>
      <c r="J30" s="21" t="s">
        <v>22</v>
      </c>
      <c r="K30" s="21" t="s">
        <v>23</v>
      </c>
      <c r="L30" s="21" t="s">
        <v>24</v>
      </c>
      <c r="M30" s="17"/>
      <c r="N30" s="21" t="s">
        <v>1</v>
      </c>
      <c r="O30" s="21" t="s">
        <v>22</v>
      </c>
      <c r="P30" s="21" t="s">
        <v>23</v>
      </c>
      <c r="Q30" s="21" t="s">
        <v>24</v>
      </c>
      <c r="R30" s="17"/>
      <c r="S30" s="21" t="s">
        <v>1</v>
      </c>
      <c r="T30" s="21" t="s">
        <v>22</v>
      </c>
      <c r="U30" s="21" t="s">
        <v>23</v>
      </c>
      <c r="V30" s="21" t="s">
        <v>24</v>
      </c>
    </row>
    <row r="31" spans="3:22" x14ac:dyDescent="0.2">
      <c r="I31">
        <v>1</v>
      </c>
      <c r="J31">
        <v>1</v>
      </c>
      <c r="K31">
        <v>100</v>
      </c>
      <c r="L31">
        <v>0</v>
      </c>
      <c r="N31">
        <v>8</v>
      </c>
      <c r="O31">
        <v>10</v>
      </c>
      <c r="P31">
        <v>2000</v>
      </c>
      <c r="Q31">
        <v>56</v>
      </c>
      <c r="S31">
        <v>15</v>
      </c>
      <c r="T31">
        <v>10</v>
      </c>
      <c r="U31">
        <v>25000</v>
      </c>
      <c r="V31">
        <v>9472</v>
      </c>
    </row>
    <row r="32" spans="3:22" x14ac:dyDescent="0.2">
      <c r="I32">
        <v>2</v>
      </c>
      <c r="J32">
        <v>2</v>
      </c>
      <c r="K32">
        <v>100</v>
      </c>
      <c r="L32">
        <v>0</v>
      </c>
      <c r="N32">
        <v>9</v>
      </c>
      <c r="O32">
        <v>10</v>
      </c>
      <c r="P32">
        <v>3000</v>
      </c>
      <c r="Q32">
        <v>122</v>
      </c>
      <c r="S32">
        <v>16</v>
      </c>
      <c r="T32">
        <v>10</v>
      </c>
      <c r="U32">
        <v>30000</v>
      </c>
      <c r="V32">
        <v>13646</v>
      </c>
    </row>
    <row r="33" spans="9:22" x14ac:dyDescent="0.2">
      <c r="I33">
        <v>3</v>
      </c>
      <c r="J33">
        <v>5</v>
      </c>
      <c r="K33">
        <v>200</v>
      </c>
      <c r="L33">
        <v>0</v>
      </c>
      <c r="N33">
        <v>10</v>
      </c>
      <c r="O33">
        <v>10</v>
      </c>
      <c r="P33">
        <v>4000</v>
      </c>
      <c r="Q33">
        <v>244</v>
      </c>
      <c r="S33">
        <v>17</v>
      </c>
      <c r="T33">
        <v>10</v>
      </c>
      <c r="U33">
        <v>35000</v>
      </c>
      <c r="V33">
        <v>18388</v>
      </c>
    </row>
    <row r="34" spans="9:22" x14ac:dyDescent="0.2">
      <c r="I34">
        <v>4</v>
      </c>
      <c r="J34">
        <v>5</v>
      </c>
      <c r="K34">
        <v>500</v>
      </c>
      <c r="L34">
        <v>2</v>
      </c>
      <c r="N34">
        <v>11</v>
      </c>
      <c r="O34">
        <v>10</v>
      </c>
      <c r="P34">
        <v>5000</v>
      </c>
      <c r="Q34">
        <v>392</v>
      </c>
      <c r="S34">
        <v>18</v>
      </c>
      <c r="T34">
        <v>10</v>
      </c>
      <c r="U34">
        <v>40000</v>
      </c>
      <c r="V34">
        <v>23990</v>
      </c>
    </row>
    <row r="35" spans="9:22" x14ac:dyDescent="0.2">
      <c r="I35">
        <v>5</v>
      </c>
      <c r="J35">
        <v>5</v>
      </c>
      <c r="K35">
        <v>700</v>
      </c>
      <c r="L35">
        <v>4</v>
      </c>
      <c r="N35">
        <v>12</v>
      </c>
      <c r="O35">
        <v>10</v>
      </c>
      <c r="P35">
        <v>10000</v>
      </c>
      <c r="Q35">
        <v>1606</v>
      </c>
      <c r="S35">
        <v>19</v>
      </c>
      <c r="T35">
        <v>10</v>
      </c>
      <c r="U35">
        <v>45000</v>
      </c>
      <c r="V35">
        <v>30476</v>
      </c>
    </row>
    <row r="36" spans="9:22" x14ac:dyDescent="0.2">
      <c r="I36">
        <v>6</v>
      </c>
      <c r="J36">
        <v>5</v>
      </c>
      <c r="K36">
        <v>1000</v>
      </c>
      <c r="L36">
        <v>12</v>
      </c>
      <c r="N36">
        <v>13</v>
      </c>
      <c r="O36">
        <v>10</v>
      </c>
      <c r="P36">
        <v>15000</v>
      </c>
      <c r="Q36">
        <v>3548</v>
      </c>
      <c r="S36">
        <v>20</v>
      </c>
      <c r="T36">
        <v>10</v>
      </c>
      <c r="U36">
        <v>50000</v>
      </c>
      <c r="V36">
        <v>37502</v>
      </c>
    </row>
    <row r="37" spans="9:22" x14ac:dyDescent="0.2">
      <c r="I37" s="22">
        <v>7</v>
      </c>
      <c r="J37" s="22">
        <v>10</v>
      </c>
      <c r="K37" s="22">
        <v>1000</v>
      </c>
      <c r="L37" s="22">
        <v>12</v>
      </c>
      <c r="M37" s="22"/>
      <c r="N37" s="22">
        <v>14</v>
      </c>
      <c r="O37" s="22">
        <v>10</v>
      </c>
      <c r="P37" s="22">
        <v>20000</v>
      </c>
      <c r="Q37" s="22">
        <v>6100</v>
      </c>
      <c r="R37" s="22"/>
      <c r="S37" s="22">
        <v>21</v>
      </c>
      <c r="T37" s="22">
        <v>10</v>
      </c>
      <c r="U37" s="22">
        <v>55000</v>
      </c>
      <c r="V37" s="22">
        <v>44992</v>
      </c>
    </row>
  </sheetData>
  <mergeCells count="3">
    <mergeCell ref="I29:L29"/>
    <mergeCell ref="N29:Q29"/>
    <mergeCell ref="S29:V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7D00-8B32-3D46-AE69-173842C5D8C4}">
  <dimension ref="E7:J30"/>
  <sheetViews>
    <sheetView workbookViewId="0">
      <selection activeCell="E8" sqref="E8"/>
    </sheetView>
  </sheetViews>
  <sheetFormatPr baseColWidth="10" defaultRowHeight="15" x14ac:dyDescent="0.2"/>
  <cols>
    <col min="5" max="5" width="7.5" bestFit="1" customWidth="1"/>
    <col min="6" max="7" width="10.6640625" bestFit="1" customWidth="1"/>
    <col min="8" max="10" width="10.6640625" customWidth="1"/>
  </cols>
  <sheetData>
    <row r="7" spans="5:10" ht="16" thickBot="1" x14ac:dyDescent="0.25">
      <c r="E7" s="33"/>
      <c r="F7" s="33"/>
      <c r="G7" s="33"/>
      <c r="H7" s="33"/>
      <c r="I7" s="33"/>
      <c r="J7" s="33"/>
    </row>
    <row r="8" spans="5:10" ht="32" x14ac:dyDescent="0.2">
      <c r="E8" s="28" t="s">
        <v>1</v>
      </c>
      <c r="F8" s="28" t="s">
        <v>45</v>
      </c>
      <c r="G8" s="27" t="s">
        <v>46</v>
      </c>
      <c r="H8" s="27" t="s">
        <v>47</v>
      </c>
      <c r="I8" s="27" t="s">
        <v>47</v>
      </c>
      <c r="J8" s="27" t="s">
        <v>48</v>
      </c>
    </row>
    <row r="9" spans="5:10" x14ac:dyDescent="0.2">
      <c r="E9">
        <v>1</v>
      </c>
      <c r="F9" s="46">
        <v>55.567</v>
      </c>
      <c r="G9" s="4">
        <v>55.712328767123289</v>
      </c>
      <c r="H9" s="4">
        <v>55.712328767123289</v>
      </c>
      <c r="I9" s="4">
        <v>55.712328767123289</v>
      </c>
      <c r="J9" s="4">
        <v>55.684210526315788</v>
      </c>
    </row>
    <row r="10" spans="5:10" x14ac:dyDescent="0.2">
      <c r="E10">
        <v>2</v>
      </c>
      <c r="F10" s="46">
        <v>28.588000000000001</v>
      </c>
      <c r="G10" s="4">
        <v>28.613861386138613</v>
      </c>
      <c r="H10" s="4">
        <v>28.613861386138613</v>
      </c>
      <c r="I10" s="4">
        <v>28.592233009708739</v>
      </c>
      <c r="J10" s="4">
        <v>28.677685950413224</v>
      </c>
    </row>
    <row r="11" spans="5:10" x14ac:dyDescent="0.2">
      <c r="E11">
        <v>3</v>
      </c>
      <c r="F11" s="46">
        <v>49.042000000000002</v>
      </c>
      <c r="G11" s="4">
        <v>49.091666666666669</v>
      </c>
      <c r="H11" s="4">
        <v>49.100671140939596</v>
      </c>
      <c r="I11" s="4">
        <v>49.037470725995313</v>
      </c>
      <c r="J11" s="4">
        <v>49.087866108786613</v>
      </c>
    </row>
    <row r="12" spans="5:10" x14ac:dyDescent="0.2">
      <c r="E12">
        <v>4</v>
      </c>
      <c r="F12" s="46">
        <v>24.074999999999999</v>
      </c>
      <c r="G12" s="4">
        <v>24.070796460176989</v>
      </c>
      <c r="H12" s="4">
        <v>24.058103975535168</v>
      </c>
      <c r="I12" s="4">
        <v>24.08685968819599</v>
      </c>
      <c r="J12" s="4">
        <v>24.095697980684811</v>
      </c>
    </row>
    <row r="13" spans="5:10" x14ac:dyDescent="0.2">
      <c r="E13">
        <v>5</v>
      </c>
      <c r="F13" s="46">
        <v>57.923000000000002</v>
      </c>
      <c r="G13" s="4">
        <v>57.913761467889906</v>
      </c>
      <c r="H13" s="4">
        <v>57.899135446685882</v>
      </c>
      <c r="I13" s="4">
        <v>57.921108742004265</v>
      </c>
      <c r="J13" s="4">
        <v>57.940880503144655</v>
      </c>
    </row>
    <row r="14" spans="5:10" x14ac:dyDescent="0.2">
      <c r="E14">
        <v>6</v>
      </c>
      <c r="F14" s="46">
        <v>13.792</v>
      </c>
      <c r="G14" s="4">
        <v>13.794278758368838</v>
      </c>
      <c r="H14" s="4">
        <v>13.79440389294404</v>
      </c>
      <c r="I14" s="4">
        <v>13.790481117434041</v>
      </c>
      <c r="J14" s="4">
        <v>13.792730419731718</v>
      </c>
    </row>
    <row r="15" spans="5:10" x14ac:dyDescent="0.2">
      <c r="E15">
        <v>7</v>
      </c>
      <c r="F15" s="46">
        <v>23.728000000000002</v>
      </c>
      <c r="G15" s="4">
        <v>23.733699382292382</v>
      </c>
      <c r="H15" s="4">
        <v>23.732668977469672</v>
      </c>
      <c r="I15" s="4">
        <v>23.725194674704849</v>
      </c>
      <c r="J15" s="4">
        <v>23.729269385925594</v>
      </c>
    </row>
    <row r="16" spans="5:10" x14ac:dyDescent="0.2">
      <c r="E16">
        <v>8</v>
      </c>
      <c r="F16" s="46">
        <v>39.390999999999998</v>
      </c>
      <c r="G16" s="4">
        <v>29.075955997904661</v>
      </c>
      <c r="H16" s="4">
        <v>29.475830815709969</v>
      </c>
      <c r="I16" s="4">
        <v>30.75046616211473</v>
      </c>
      <c r="J16" s="4">
        <v>39.393946188340806</v>
      </c>
    </row>
    <row r="17" spans="5:10" x14ac:dyDescent="0.2">
      <c r="E17">
        <v>9</v>
      </c>
      <c r="F17" s="46">
        <v>59.155000000000001</v>
      </c>
      <c r="G17" s="4">
        <v>28.165758591785416</v>
      </c>
      <c r="H17" s="4">
        <v>28.447928806017586</v>
      </c>
      <c r="I17" s="4">
        <v>50.199273167777108</v>
      </c>
      <c r="J17" s="4">
        <v>59.157081063761616</v>
      </c>
    </row>
    <row r="18" spans="5:10" x14ac:dyDescent="0.2">
      <c r="E18">
        <v>10</v>
      </c>
      <c r="F18" s="46">
        <v>52.597000000000001</v>
      </c>
      <c r="G18" s="4">
        <v>35.759176269739648</v>
      </c>
      <c r="H18" s="4">
        <v>35.733568451426741</v>
      </c>
      <c r="I18" s="4">
        <v>45.97772744431861</v>
      </c>
      <c r="J18" s="4">
        <v>52.598314268512944</v>
      </c>
    </row>
    <row r="19" spans="5:10" x14ac:dyDescent="0.2">
      <c r="E19">
        <v>11</v>
      </c>
      <c r="F19" s="46">
        <v>50.420999999999999</v>
      </c>
      <c r="G19" s="4">
        <v>30.797937542562504</v>
      </c>
      <c r="H19" s="4">
        <v>30.763817136173117</v>
      </c>
      <c r="I19" s="4">
        <v>47.328411749415132</v>
      </c>
      <c r="J19" s="4">
        <v>50.422024525126233</v>
      </c>
    </row>
    <row r="20" spans="5:10" x14ac:dyDescent="0.2">
      <c r="E20">
        <v>12</v>
      </c>
      <c r="F20" s="46">
        <v>88.590999999999994</v>
      </c>
      <c r="G20" s="4">
        <v>33.487171512983984</v>
      </c>
      <c r="H20" s="4">
        <v>34.783334008179132</v>
      </c>
      <c r="I20" s="4">
        <v>49.642445132245356</v>
      </c>
      <c r="J20" s="4">
        <v>88.592836946277103</v>
      </c>
    </row>
    <row r="21" spans="5:10" x14ac:dyDescent="0.2">
      <c r="E21">
        <v>13</v>
      </c>
      <c r="F21" s="46">
        <v>102.4</v>
      </c>
      <c r="G21" s="4">
        <v>43.162932181753987</v>
      </c>
      <c r="H21" s="4">
        <v>44.643334555402014</v>
      </c>
      <c r="I21" s="4">
        <v>53.668490934183602</v>
      </c>
      <c r="J21" s="4">
        <v>102.40332113170136</v>
      </c>
    </row>
    <row r="22" spans="5:10" x14ac:dyDescent="0.2">
      <c r="E22">
        <v>14</v>
      </c>
      <c r="F22" s="46">
        <v>115.67</v>
      </c>
      <c r="G22" s="4">
        <v>43.062582386541962</v>
      </c>
      <c r="H22" s="4">
        <v>46.144968972351279</v>
      </c>
      <c r="I22" s="4">
        <v>69.610098355433436</v>
      </c>
      <c r="J22" s="4">
        <v>115.67040964644707</v>
      </c>
    </row>
    <row r="23" spans="5:10" x14ac:dyDescent="0.2">
      <c r="E23">
        <v>15</v>
      </c>
      <c r="F23" s="46">
        <v>116.88</v>
      </c>
      <c r="G23" s="4">
        <v>47.540737752571694</v>
      </c>
      <c r="H23" s="4">
        <v>48.048842631540992</v>
      </c>
      <c r="I23" s="4">
        <v>80.698586143119158</v>
      </c>
      <c r="J23" s="4">
        <v>116.87897458572033</v>
      </c>
    </row>
    <row r="24" spans="5:10" x14ac:dyDescent="0.2">
      <c r="E24">
        <v>16</v>
      </c>
      <c r="F24" s="47" t="s">
        <v>44</v>
      </c>
      <c r="G24" s="4">
        <v>48.321011199799081</v>
      </c>
      <c r="H24" s="4">
        <v>50.654829511796343</v>
      </c>
      <c r="I24" s="4">
        <v>83.75029993520117</v>
      </c>
      <c r="J24" s="4">
        <v>103.56100666666667</v>
      </c>
    </row>
    <row r="25" spans="5:10" x14ac:dyDescent="0.2">
      <c r="E25">
        <v>17</v>
      </c>
      <c r="F25" s="47" t="s">
        <v>44</v>
      </c>
      <c r="G25" s="4">
        <v>50.388227347293252</v>
      </c>
      <c r="H25" s="4">
        <v>52.737449017187103</v>
      </c>
      <c r="I25" s="4">
        <v>98.947925557326982</v>
      </c>
      <c r="J25" s="4">
        <v>132.8531759053088</v>
      </c>
    </row>
    <row r="26" spans="5:10" x14ac:dyDescent="0.2">
      <c r="E26">
        <v>18</v>
      </c>
      <c r="F26" s="47" t="s">
        <v>44</v>
      </c>
      <c r="G26" s="4">
        <v>54.697256193454088</v>
      </c>
      <c r="H26" s="4">
        <v>56.062743777279159</v>
      </c>
      <c r="I26" s="4">
        <v>139.03427575229287</v>
      </c>
      <c r="J26" s="4">
        <v>181.57239706970927</v>
      </c>
    </row>
    <row r="27" spans="5:10" x14ac:dyDescent="0.2">
      <c r="E27">
        <v>19</v>
      </c>
      <c r="F27" s="47" t="s">
        <v>44</v>
      </c>
      <c r="G27" s="4">
        <v>60.308204239003494</v>
      </c>
      <c r="H27" s="4">
        <v>58.43941842717259</v>
      </c>
      <c r="I27" s="4">
        <v>217.36386023430148</v>
      </c>
      <c r="J27" s="4">
        <v>282.84032714069679</v>
      </c>
    </row>
    <row r="28" spans="5:10" x14ac:dyDescent="0.2">
      <c r="E28">
        <v>20</v>
      </c>
      <c r="F28" s="47" t="s">
        <v>44</v>
      </c>
      <c r="G28" s="4">
        <v>58.332860894037474</v>
      </c>
      <c r="H28" s="4">
        <v>58.760918862411877</v>
      </c>
      <c r="I28" s="4">
        <v>267.35030486800042</v>
      </c>
      <c r="J28" s="4">
        <v>272.97635211267607</v>
      </c>
    </row>
    <row r="29" spans="5:10" x14ac:dyDescent="0.2">
      <c r="E29">
        <v>21</v>
      </c>
      <c r="F29" s="47" t="s">
        <v>44</v>
      </c>
      <c r="G29" s="4">
        <v>57.050883494376066</v>
      </c>
      <c r="H29" s="4">
        <v>58.243244848811649</v>
      </c>
      <c r="I29" s="4">
        <v>206.95176908884306</v>
      </c>
      <c r="J29" s="4">
        <v>291.45039442234565</v>
      </c>
    </row>
    <row r="30" spans="5:10" ht="16" thickBot="1" x14ac:dyDescent="0.25">
      <c r="E30" s="33">
        <v>22</v>
      </c>
      <c r="F30" s="48" t="s">
        <v>44</v>
      </c>
      <c r="G30" s="49">
        <v>55.188527594611443</v>
      </c>
      <c r="H30" s="49">
        <v>57.794670840440524</v>
      </c>
      <c r="I30" s="49">
        <v>213.19553193450713</v>
      </c>
      <c r="J30" s="49">
        <v>303.55061718369336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CACE-EA30-D046-B0A4-6BE1833C0F15}">
  <dimension ref="A1:V43"/>
  <sheetViews>
    <sheetView workbookViewId="0">
      <selection activeCell="M10" sqref="M10"/>
    </sheetView>
  </sheetViews>
  <sheetFormatPr baseColWidth="10" defaultRowHeight="15" x14ac:dyDescent="0.2"/>
  <cols>
    <col min="5" max="5" width="2.6640625" customWidth="1"/>
    <col min="13" max="15" width="8.33203125" bestFit="1" customWidth="1"/>
    <col min="16" max="16" width="9.5" bestFit="1" customWidth="1"/>
    <col min="17" max="17" width="2.83203125" customWidth="1"/>
    <col min="18" max="18" width="8.6640625" bestFit="1" customWidth="1"/>
    <col min="19" max="21" width="8.33203125" bestFit="1" customWidth="1"/>
    <col min="22" max="22" width="9.5" bestFit="1" customWidth="1"/>
  </cols>
  <sheetData>
    <row r="1" spans="1:22" ht="16" thickBot="1" x14ac:dyDescent="0.25">
      <c r="B1" s="33"/>
      <c r="C1" s="33"/>
      <c r="D1" s="33"/>
      <c r="E1" s="33"/>
      <c r="F1" s="33"/>
      <c r="G1" s="33"/>
      <c r="H1" s="33"/>
      <c r="I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x14ac:dyDescent="0.2">
      <c r="A2" s="59" t="s">
        <v>1</v>
      </c>
      <c r="B2" s="63" t="s">
        <v>27</v>
      </c>
      <c r="C2" s="63"/>
      <c r="D2" s="63"/>
      <c r="E2" s="32"/>
      <c r="F2" s="61" t="s">
        <v>28</v>
      </c>
      <c r="G2" s="61"/>
      <c r="H2" s="61"/>
      <c r="I2" s="61"/>
      <c r="L2" s="59" t="s">
        <v>1</v>
      </c>
      <c r="M2" s="62" t="s">
        <v>27</v>
      </c>
      <c r="N2" s="62"/>
      <c r="O2" s="62"/>
      <c r="P2" s="62"/>
      <c r="Q2" s="32"/>
      <c r="R2" s="61" t="s">
        <v>28</v>
      </c>
      <c r="S2" s="61"/>
      <c r="T2" s="61"/>
      <c r="U2" s="61"/>
      <c r="V2" s="61"/>
    </row>
    <row r="3" spans="1:22" ht="32" x14ac:dyDescent="0.2">
      <c r="A3" s="60"/>
      <c r="B3" s="26" t="s">
        <v>31</v>
      </c>
      <c r="C3" s="26" t="s">
        <v>32</v>
      </c>
      <c r="D3" s="26" t="s">
        <v>33</v>
      </c>
      <c r="E3" s="27"/>
      <c r="F3" s="28" t="s">
        <v>30</v>
      </c>
      <c r="G3" s="26" t="s">
        <v>31</v>
      </c>
      <c r="H3" s="26" t="s">
        <v>32</v>
      </c>
      <c r="I3" s="26" t="s">
        <v>33</v>
      </c>
      <c r="L3" s="60"/>
      <c r="M3" s="27" t="s">
        <v>37</v>
      </c>
      <c r="N3" s="27" t="s">
        <v>38</v>
      </c>
      <c r="O3" s="27" t="s">
        <v>39</v>
      </c>
      <c r="P3" s="27" t="s">
        <v>40</v>
      </c>
      <c r="Q3" s="27"/>
      <c r="R3" s="28" t="s">
        <v>30</v>
      </c>
      <c r="S3" s="27" t="s">
        <v>37</v>
      </c>
      <c r="T3" s="27" t="s">
        <v>38</v>
      </c>
      <c r="U3" s="27" t="s">
        <v>39</v>
      </c>
      <c r="V3" s="27" t="s">
        <v>40</v>
      </c>
    </row>
    <row r="4" spans="1:22" x14ac:dyDescent="0.2">
      <c r="A4">
        <v>1</v>
      </c>
      <c r="B4" s="23">
        <f>NetworkingLESS!N5</f>
        <v>0.24545454545454545</v>
      </c>
      <c r="C4" s="23">
        <f>NetworkingLESS!V5</f>
        <v>0.24545454545454545</v>
      </c>
      <c r="D4" s="24">
        <f>NetworkingLESS!AD5</f>
        <v>0.24545454545454545</v>
      </c>
      <c r="E4" s="24"/>
      <c r="F4" s="20">
        <f>NetworkingLESS!E5</f>
        <v>0.02</v>
      </c>
      <c r="G4" s="20">
        <f>NetworkingLESS!K5</f>
        <v>0</v>
      </c>
      <c r="H4" s="20">
        <f>NetworkingLESS!S5</f>
        <v>0</v>
      </c>
      <c r="I4" s="20">
        <f>NetworkingLESS!AA5</f>
        <v>0.03</v>
      </c>
      <c r="L4">
        <v>1</v>
      </c>
      <c r="M4" s="2">
        <f>NetworkingLESS!N5</f>
        <v>0.24545454545454545</v>
      </c>
      <c r="N4" s="2">
        <f>NetworkingLESS!V5</f>
        <v>0.24545454545454545</v>
      </c>
      <c r="O4" s="43">
        <f>NetworkingLESS!AD5</f>
        <v>0.24545454545454545</v>
      </c>
      <c r="P4" s="43">
        <f>NetworkingLESS!AK4</f>
        <v>0</v>
      </c>
      <c r="Q4" s="24"/>
      <c r="R4" s="20">
        <f>NetworkingLESS!E5</f>
        <v>0.02</v>
      </c>
      <c r="S4" s="20">
        <f>NetworkingLESS!K5</f>
        <v>0</v>
      </c>
      <c r="T4" s="20">
        <f>NetworkingLESS!S5</f>
        <v>0</v>
      </c>
      <c r="U4" s="20">
        <f>NetworkingLESS!AA5</f>
        <v>0.03</v>
      </c>
      <c r="V4" s="20">
        <f>NetworkingLESS!AH5</f>
        <v>3.4000000000000004</v>
      </c>
    </row>
    <row r="5" spans="1:22" x14ac:dyDescent="0.2">
      <c r="A5">
        <v>2</v>
      </c>
      <c r="B5" s="23">
        <f>NetworkingLESS!N6</f>
        <v>0.60356652949245537</v>
      </c>
      <c r="C5" s="23">
        <f>NetworkingLESS!V6</f>
        <v>0.60356652949245537</v>
      </c>
      <c r="D5" s="24">
        <f>NetworkingLESS!AD6</f>
        <v>0.19204389574759945</v>
      </c>
      <c r="E5" s="24"/>
      <c r="F5" s="20">
        <f>NetworkingLESS!E6</f>
        <v>7.0000000000000007E-2</v>
      </c>
      <c r="G5" s="20">
        <f>NetworkingLESS!K6</f>
        <v>0</v>
      </c>
      <c r="H5" s="20">
        <f>NetworkingLESS!S6</f>
        <v>0</v>
      </c>
      <c r="I5" s="20">
        <f>NetworkingLESS!AA6</f>
        <v>0.06</v>
      </c>
      <c r="L5">
        <v>2</v>
      </c>
      <c r="M5" s="2">
        <f>NetworkingLESS!N6</f>
        <v>0.60356652949245537</v>
      </c>
      <c r="N5" s="2">
        <f>NetworkingLESS!V6</f>
        <v>0.60356652949245537</v>
      </c>
      <c r="O5" s="43">
        <f>NetworkingLESS!AD6</f>
        <v>0.19204389574759945</v>
      </c>
      <c r="P5" s="43">
        <f>NetworkingLESS!AK5</f>
        <v>1.8552875695732839E-2</v>
      </c>
      <c r="Q5" s="24"/>
      <c r="R5" s="20">
        <f>NetworkingLESS!E6</f>
        <v>7.0000000000000007E-2</v>
      </c>
      <c r="S5" s="20">
        <f>NetworkingLESS!K6</f>
        <v>0</v>
      </c>
      <c r="T5" s="20">
        <f>NetworkingLESS!S6</f>
        <v>0</v>
      </c>
      <c r="U5" s="20">
        <f>NetworkingLESS!AA6</f>
        <v>0.06</v>
      </c>
      <c r="V5" s="20">
        <f>NetworkingLESS!AH6</f>
        <v>3.65</v>
      </c>
    </row>
    <row r="6" spans="1:22" x14ac:dyDescent="0.2">
      <c r="A6">
        <v>3</v>
      </c>
      <c r="B6" s="23">
        <f>NetworkingLESS!N7</f>
        <v>0.51855181431840469</v>
      </c>
      <c r="C6" s="23">
        <f>NetworkingLESS!V7</f>
        <v>0.40209218698921217</v>
      </c>
      <c r="D6" s="24">
        <f>NetworkingLESS!AD7</f>
        <v>0.1443690748610657</v>
      </c>
      <c r="E6" s="24"/>
      <c r="F6" s="20">
        <f>NetworkingLESS!E7</f>
        <v>0.1</v>
      </c>
      <c r="G6" s="20">
        <f>NetworkingLESS!K7</f>
        <v>0</v>
      </c>
      <c r="H6" s="20">
        <f>NetworkingLESS!S7</f>
        <v>0</v>
      </c>
      <c r="I6" s="20">
        <f>NetworkingLESS!AA7</f>
        <v>0.1</v>
      </c>
      <c r="L6">
        <v>3</v>
      </c>
      <c r="M6" s="2">
        <f>NetworkingLESS!N7</f>
        <v>0.51855181431840469</v>
      </c>
      <c r="N6" s="2">
        <f>NetworkingLESS!V7</f>
        <v>0.40209218698921217</v>
      </c>
      <c r="O6" s="43">
        <f>NetworkingLESS!AD7</f>
        <v>0.1443690748610657</v>
      </c>
      <c r="P6" s="43">
        <f>NetworkingLESS!AK6</f>
        <v>4.8010973936899862E-2</v>
      </c>
      <c r="Q6" s="24"/>
      <c r="R6" s="20">
        <f>NetworkingLESS!E7</f>
        <v>0.1</v>
      </c>
      <c r="S6" s="20">
        <f>NetworkingLESS!K7</f>
        <v>0</v>
      </c>
      <c r="T6" s="20">
        <f>NetworkingLESS!S7</f>
        <v>0</v>
      </c>
      <c r="U6" s="20">
        <f>NetworkingLESS!AA7</f>
        <v>0.1</v>
      </c>
      <c r="V6" s="20">
        <f>NetworkingLESS!AH7</f>
        <v>3.85</v>
      </c>
    </row>
    <row r="7" spans="1:22" x14ac:dyDescent="0.2">
      <c r="A7">
        <v>4</v>
      </c>
      <c r="B7" s="23">
        <f>NetworkingLESS!N8</f>
        <v>0.62927627095543137</v>
      </c>
      <c r="C7" s="23">
        <f>NetworkingLESS!V8</f>
        <v>0.46388169551587843</v>
      </c>
      <c r="D7" s="24">
        <f>NetworkingLESS!AD8</f>
        <v>0.26298214529099084</v>
      </c>
      <c r="E7" s="24"/>
      <c r="F7" s="20">
        <f>NetworkingLESS!E8</f>
        <v>0.27</v>
      </c>
      <c r="G7" s="20">
        <f>NetworkingLESS!K8</f>
        <v>0.02</v>
      </c>
      <c r="H7" s="20">
        <f>NetworkingLESS!S8</f>
        <v>0.05</v>
      </c>
      <c r="I7" s="20">
        <f>NetworkingLESS!AA8</f>
        <v>0.33</v>
      </c>
      <c r="L7">
        <v>4</v>
      </c>
      <c r="M7" s="2">
        <f>NetworkingLESS!N8</f>
        <v>0.62927627095543137</v>
      </c>
      <c r="N7" s="2">
        <f>NetworkingLESS!V8</f>
        <v>0.46388169551587843</v>
      </c>
      <c r="O7" s="43">
        <f>NetworkingLESS!AD8</f>
        <v>0.26298214529099084</v>
      </c>
      <c r="P7" s="43">
        <f>NetworkingLESS!AK7</f>
        <v>4.1189931350114416E-2</v>
      </c>
      <c r="Q7" s="24"/>
      <c r="R7" s="20">
        <f>NetworkingLESS!E8</f>
        <v>0.27</v>
      </c>
      <c r="S7" s="20">
        <f>NetworkingLESS!K8</f>
        <v>0.02</v>
      </c>
      <c r="T7" s="20">
        <f>NetworkingLESS!S8</f>
        <v>0.05</v>
      </c>
      <c r="U7" s="20">
        <f>NetworkingLESS!AA8</f>
        <v>0.33</v>
      </c>
      <c r="V7" s="20">
        <f>NetworkingLESS!AH8</f>
        <v>4.95</v>
      </c>
    </row>
    <row r="8" spans="1:22" x14ac:dyDescent="0.2">
      <c r="A8">
        <v>5</v>
      </c>
      <c r="B8" s="23">
        <f>NetworkingLESS!N9</f>
        <v>0.68208098307816278</v>
      </c>
      <c r="C8" s="23">
        <f>NetworkingLESS!V9</f>
        <v>0.5952659145850121</v>
      </c>
      <c r="D8" s="24">
        <f>NetworkingLESS!AD9</f>
        <v>0.17913980660757453</v>
      </c>
      <c r="E8" s="24"/>
      <c r="F8" s="20">
        <f>NetworkingLESS!E9</f>
        <v>0.41</v>
      </c>
      <c r="G8" s="20">
        <f>NetworkingLESS!K9</f>
        <v>0.05</v>
      </c>
      <c r="H8" s="20">
        <f>NetworkingLESS!S9</f>
        <v>0.09</v>
      </c>
      <c r="I8" s="20">
        <f>NetworkingLESS!AA9</f>
        <v>0.56999999999999995</v>
      </c>
      <c r="L8">
        <v>5</v>
      </c>
      <c r="M8" s="2">
        <f>NetworkingLESS!N9</f>
        <v>0.68208098307816278</v>
      </c>
      <c r="N8" s="2">
        <f>NetworkingLESS!V9</f>
        <v>0.5952659145850121</v>
      </c>
      <c r="O8" s="43">
        <f>NetworkingLESS!AD9</f>
        <v>0.17913980660757453</v>
      </c>
      <c r="P8" s="43">
        <f>NetworkingLESS!AK8</f>
        <v>6.484257871064468E-2</v>
      </c>
      <c r="Q8" s="24"/>
      <c r="R8" s="20">
        <f>NetworkingLESS!E9</f>
        <v>0.41</v>
      </c>
      <c r="S8" s="20">
        <f>NetworkingLESS!K9</f>
        <v>0.05</v>
      </c>
      <c r="T8" s="20">
        <f>NetworkingLESS!S9</f>
        <v>0.09</v>
      </c>
      <c r="U8" s="20">
        <f>NetworkingLESS!AA9</f>
        <v>0.56999999999999995</v>
      </c>
      <c r="V8" s="20">
        <f>NetworkingLESS!AH9</f>
        <v>5.4</v>
      </c>
    </row>
    <row r="9" spans="1:22" x14ac:dyDescent="0.2">
      <c r="A9">
        <v>6</v>
      </c>
      <c r="B9" s="23">
        <f>NetworkingLESS!N10</f>
        <v>0.31385668008840178</v>
      </c>
      <c r="C9" s="23">
        <f>NetworkingLESS!V10</f>
        <v>0.31343283582089554</v>
      </c>
      <c r="D9" s="24">
        <f>NetworkingLESS!AD10</f>
        <v>0.19297024007750296</v>
      </c>
      <c r="E9" s="24"/>
      <c r="F9" s="20">
        <f>NetworkingLESS!E10</f>
        <v>0.63</v>
      </c>
      <c r="G9" s="20">
        <f>NetworkingLESS!K10</f>
        <v>0.1</v>
      </c>
      <c r="H9" s="20">
        <f>NetworkingLESS!S10</f>
        <v>0.19</v>
      </c>
      <c r="I9" s="20">
        <f>NetworkingLESS!AA10</f>
        <v>1.1000000000000001</v>
      </c>
      <c r="L9">
        <v>6</v>
      </c>
      <c r="M9" s="2">
        <f>NetworkingLESS!N10</f>
        <v>0.31385668008840178</v>
      </c>
      <c r="N9" s="2">
        <f>NetworkingLESS!V10</f>
        <v>0.31343283582089554</v>
      </c>
      <c r="O9" s="43">
        <f>NetworkingLESS!AD10</f>
        <v>0.19297024007750296</v>
      </c>
      <c r="P9" s="43">
        <f>NetworkingLESS!AK9</f>
        <v>7.2058823529411759E-2</v>
      </c>
      <c r="Q9" s="24"/>
      <c r="R9" s="20">
        <f>NetworkingLESS!E10</f>
        <v>0.63</v>
      </c>
      <c r="S9" s="20">
        <f>NetworkingLESS!K10</f>
        <v>0.1</v>
      </c>
      <c r="T9" s="20">
        <f>NetworkingLESS!S10</f>
        <v>0.19</v>
      </c>
      <c r="U9" s="20">
        <f>NetworkingLESS!AA10</f>
        <v>1.1000000000000001</v>
      </c>
      <c r="V9" s="20">
        <f>NetworkingLESS!AH10</f>
        <v>10.149999999999999</v>
      </c>
    </row>
    <row r="10" spans="1:22" x14ac:dyDescent="0.2">
      <c r="A10">
        <v>7</v>
      </c>
      <c r="B10" s="23">
        <f>NetworkingLESS!N11</f>
        <v>0.70056198747867648</v>
      </c>
      <c r="C10" s="23">
        <f>NetworkingLESS!V11</f>
        <v>0.52568776356693192</v>
      </c>
      <c r="D10" s="24">
        <f>NetworkingLESS!AD11</f>
        <v>0.18213070322038741</v>
      </c>
      <c r="E10" s="24"/>
      <c r="F10" s="20">
        <f>NetworkingLESS!E11</f>
        <v>1.29</v>
      </c>
      <c r="G10" s="20">
        <f>NetworkingLESS!K11</f>
        <v>0.15</v>
      </c>
      <c r="H10" s="20">
        <f>NetworkingLESS!S11</f>
        <v>0.24</v>
      </c>
      <c r="I10" s="20">
        <f>NetworkingLESS!AA11</f>
        <v>2.2400000000000002</v>
      </c>
      <c r="L10">
        <v>7</v>
      </c>
      <c r="M10" s="2">
        <f>NetworkingLESS!N11</f>
        <v>0.70056198747867648</v>
      </c>
      <c r="N10" s="2">
        <f>NetworkingLESS!V11</f>
        <v>0.52568776356693192</v>
      </c>
      <c r="O10" s="43">
        <f>NetworkingLESS!AD11</f>
        <v>0.18213070322038741</v>
      </c>
      <c r="P10" s="43">
        <f>NetworkingLESS!AK10</f>
        <v>3.4997426659804425E-2</v>
      </c>
      <c r="Q10" s="24"/>
      <c r="R10" s="20">
        <f>NetworkingLESS!E11</f>
        <v>1.29</v>
      </c>
      <c r="S10" s="20">
        <f>NetworkingLESS!K11</f>
        <v>0.15</v>
      </c>
      <c r="T10" s="20">
        <f>NetworkingLESS!S11</f>
        <v>0.24</v>
      </c>
      <c r="U10" s="20">
        <f>NetworkingLESS!AA11</f>
        <v>2.2400000000000002</v>
      </c>
      <c r="V10" s="20">
        <f>NetworkingLESS!AH11</f>
        <v>21.8</v>
      </c>
    </row>
    <row r="11" spans="1:22" x14ac:dyDescent="0.2">
      <c r="A11">
        <v>8</v>
      </c>
      <c r="B11" s="23">
        <f>NetworkingLESS!N12</f>
        <v>0.70038217385671719</v>
      </c>
      <c r="C11" s="23">
        <f>NetworkingLESS!V12</f>
        <v>0.68401023448633247</v>
      </c>
      <c r="D11" s="24">
        <f>NetworkingLESS!AD12</f>
        <v>0.24333894718659585</v>
      </c>
      <c r="E11" s="24"/>
      <c r="F11" s="20">
        <f>NetworkingLESS!E12</f>
        <v>4.26</v>
      </c>
      <c r="G11" s="20">
        <f>NetworkingLESS!K12</f>
        <v>0.6</v>
      </c>
      <c r="H11" s="20">
        <f>NetworkingLESS!S12</f>
        <v>0.97</v>
      </c>
      <c r="I11" s="20">
        <f>NetworkingLESS!AA12</f>
        <v>8.75</v>
      </c>
      <c r="L11">
        <v>8</v>
      </c>
      <c r="M11" s="2">
        <f>NetworkingLESS!N12</f>
        <v>0.70038217385671719</v>
      </c>
      <c r="N11" s="2">
        <f>NetworkingLESS!V12</f>
        <v>0.68401023448633247</v>
      </c>
      <c r="O11" s="43">
        <f>NetworkingLESS!AD12</f>
        <v>0.24333894718659585</v>
      </c>
      <c r="P11" s="43">
        <f>NetworkingLESS!AK11</f>
        <v>8.3155096421118263E-2</v>
      </c>
      <c r="Q11" s="24"/>
      <c r="R11" s="20">
        <f>NetworkingLESS!E12</f>
        <v>4.26</v>
      </c>
      <c r="S11" s="20">
        <f>NetworkingLESS!K12</f>
        <v>0.6</v>
      </c>
      <c r="T11" s="20">
        <f>NetworkingLESS!S12</f>
        <v>0.97</v>
      </c>
      <c r="U11" s="20">
        <f>NetworkingLESS!AA12</f>
        <v>8.75</v>
      </c>
      <c r="V11" s="20">
        <f>NetworkingLESS!AH12</f>
        <v>79.099999999999994</v>
      </c>
    </row>
    <row r="12" spans="1:22" x14ac:dyDescent="0.2">
      <c r="A12">
        <v>9</v>
      </c>
      <c r="B12" s="23">
        <f>NetworkingLESS!N13</f>
        <v>0.66356532099803756</v>
      </c>
      <c r="C12" s="23">
        <f>NetworkingLESS!V13</f>
        <v>0.66393327726380713</v>
      </c>
      <c r="D12" s="24">
        <f>NetworkingLESS!AD13</f>
        <v>0.17018102447034322</v>
      </c>
      <c r="E12" s="24"/>
      <c r="F12" s="20">
        <f>NetworkingLESS!E13</f>
        <v>11.3</v>
      </c>
      <c r="G12" s="20">
        <f>NetworkingLESS!K13</f>
        <v>1.36</v>
      </c>
      <c r="H12" s="20">
        <f>NetworkingLESS!S13</f>
        <v>2.1800000000000002</v>
      </c>
      <c r="I12" s="20">
        <f>NetworkingLESS!AA13</f>
        <v>20.100000000000001</v>
      </c>
      <c r="L12">
        <v>9</v>
      </c>
      <c r="M12" s="2">
        <f>NetworkingLESS!N13</f>
        <v>0.66356532099803756</v>
      </c>
      <c r="N12" s="2">
        <f>NetworkingLESS!V13</f>
        <v>0.66393327726380713</v>
      </c>
      <c r="O12" s="43">
        <f>NetworkingLESS!AD13</f>
        <v>0.17018102447034322</v>
      </c>
      <c r="P12" s="43">
        <f>NetworkingLESS!AK12</f>
        <v>5.1598868592650171E-2</v>
      </c>
      <c r="Q12" s="24"/>
      <c r="R12" s="20">
        <f>NetworkingLESS!E13</f>
        <v>11.3</v>
      </c>
      <c r="S12" s="20">
        <f>NetworkingLESS!K13</f>
        <v>1.36</v>
      </c>
      <c r="T12" s="20">
        <f>NetworkingLESS!S13</f>
        <v>2.1800000000000002</v>
      </c>
      <c r="U12" s="20">
        <f>NetworkingLESS!AA13</f>
        <v>20.100000000000001</v>
      </c>
      <c r="V12" s="20">
        <f>NetworkingLESS!AH13</f>
        <v>189.75</v>
      </c>
    </row>
    <row r="13" spans="1:22" x14ac:dyDescent="0.2">
      <c r="A13">
        <v>10</v>
      </c>
      <c r="B13" s="23">
        <f>NetworkingLESS!N14</f>
        <v>0.63726798561345743</v>
      </c>
      <c r="C13" s="23">
        <f>NetworkingLESS!V14</f>
        <v>0.63810788608092273</v>
      </c>
      <c r="D13" s="24">
        <f>NetworkingLESS!AD14</f>
        <v>0.20905404045159803</v>
      </c>
      <c r="E13" s="24"/>
      <c r="F13" s="20">
        <f>NetworkingLESS!E14</f>
        <v>24.03</v>
      </c>
      <c r="G13" s="20">
        <f>NetworkingLESS!K14</f>
        <v>2.4300000000000002</v>
      </c>
      <c r="H13" s="20">
        <f>NetworkingLESS!S14</f>
        <v>3.88</v>
      </c>
      <c r="I13" s="20">
        <f>NetworkingLESS!AA14</f>
        <v>37.33</v>
      </c>
      <c r="L13">
        <v>10</v>
      </c>
      <c r="M13" s="2">
        <f>NetworkingLESS!N14</f>
        <v>0.63726798561345743</v>
      </c>
      <c r="N13" s="2">
        <f>NetworkingLESS!V14</f>
        <v>0.63810788608092273</v>
      </c>
      <c r="O13" s="43">
        <f>NetworkingLESS!AD14</f>
        <v>0.20905404045159803</v>
      </c>
      <c r="P13" s="43">
        <f>NetworkingLESS!AK13</f>
        <v>7.5707627458047974E-2</v>
      </c>
      <c r="Q13" s="24"/>
      <c r="R13" s="20">
        <f>NetworkingLESS!E14</f>
        <v>24.03</v>
      </c>
      <c r="S13" s="20">
        <f>NetworkingLESS!K14</f>
        <v>2.4300000000000002</v>
      </c>
      <c r="T13" s="20">
        <f>NetworkingLESS!S14</f>
        <v>3.88</v>
      </c>
      <c r="U13" s="20">
        <f>NetworkingLESS!AA14</f>
        <v>37.33</v>
      </c>
      <c r="V13" s="20">
        <f>NetworkingLESS!AH14</f>
        <v>331.75</v>
      </c>
    </row>
    <row r="14" spans="1:22" x14ac:dyDescent="0.2">
      <c r="A14">
        <v>11</v>
      </c>
      <c r="B14" s="23">
        <f>NetworkingLESS!N15</f>
        <v>0.70677433427903735</v>
      </c>
      <c r="C14" s="23">
        <f>NetworkingLESS!V15</f>
        <v>0.70766909437496006</v>
      </c>
      <c r="D14" s="24">
        <f>NetworkingLESS!AD15</f>
        <v>0.15677475109274661</v>
      </c>
      <c r="E14" s="24"/>
      <c r="F14" s="20">
        <f>NetworkingLESS!E15</f>
        <v>43.93</v>
      </c>
      <c r="G14" s="20">
        <f>NetworkingLESS!K15</f>
        <v>3.8</v>
      </c>
      <c r="H14" s="20">
        <f>NetworkingLESS!S15</f>
        <v>6.13</v>
      </c>
      <c r="I14" s="20">
        <f>NetworkingLESS!AA15</f>
        <v>60.39</v>
      </c>
      <c r="L14">
        <v>11</v>
      </c>
      <c r="M14" s="2">
        <f>NetworkingLESS!N15</f>
        <v>0.70677433427903735</v>
      </c>
      <c r="N14" s="2">
        <f>NetworkingLESS!V15</f>
        <v>0.70766909437496006</v>
      </c>
      <c r="O14" s="43">
        <f>NetworkingLESS!AD15</f>
        <v>0.15677475109274661</v>
      </c>
      <c r="P14" s="43">
        <f>NetworkingLESS!AK14</f>
        <v>5.439979045782152E-2</v>
      </c>
      <c r="Q14" s="24"/>
      <c r="R14" s="20">
        <f>NetworkingLESS!E15</f>
        <v>43.93</v>
      </c>
      <c r="S14" s="20">
        <f>NetworkingLESS!K15</f>
        <v>3.8</v>
      </c>
      <c r="T14" s="20">
        <f>NetworkingLESS!S15</f>
        <v>6.13</v>
      </c>
      <c r="U14" s="20">
        <f>NetworkingLESS!AA15</f>
        <v>60.39</v>
      </c>
      <c r="V14" s="20">
        <f>NetworkingLESS!AH15</f>
        <v>541.70000000000005</v>
      </c>
    </row>
    <row r="15" spans="1:22" x14ac:dyDescent="0.2">
      <c r="A15">
        <v>12</v>
      </c>
      <c r="B15" s="23">
        <f>NetworkingLESS!N16</f>
        <v>0.75607481107934316</v>
      </c>
      <c r="C15" s="23">
        <f>NetworkingLESS!V16</f>
        <v>0.75674874395053215</v>
      </c>
      <c r="D15" s="24">
        <f>NetworkingLESS!AD16</f>
        <v>0.20066237973625439</v>
      </c>
      <c r="E15" s="24"/>
      <c r="F15" s="20">
        <f>NetworkingLESS!E16</f>
        <v>309.95999999999998</v>
      </c>
      <c r="G15" s="20">
        <f>NetworkingLESS!K16</f>
        <v>15.53</v>
      </c>
      <c r="H15" s="20">
        <f>NetworkingLESS!S16</f>
        <v>25.1</v>
      </c>
      <c r="I15" s="20">
        <f>NetworkingLESS!AA16</f>
        <v>290.14</v>
      </c>
      <c r="L15">
        <v>12</v>
      </c>
      <c r="M15" s="2">
        <f>NetworkingLESS!N16</f>
        <v>0.75607481107934316</v>
      </c>
      <c r="N15" s="2">
        <f>NetworkingLESS!V16</f>
        <v>0.75674874395053215</v>
      </c>
      <c r="O15" s="43">
        <f>NetworkingLESS!AD16</f>
        <v>0.20066237973625439</v>
      </c>
      <c r="P15" s="43">
        <f>NetworkingLESS!AK15</f>
        <v>2.8799974805926904E-2</v>
      </c>
      <c r="Q15" s="24"/>
      <c r="R15" s="20">
        <f>NetworkingLESS!E16</f>
        <v>309.95999999999998</v>
      </c>
      <c r="S15" s="20">
        <f>NetworkingLESS!K16</f>
        <v>15.53</v>
      </c>
      <c r="T15" s="20">
        <f>NetworkingLESS!S16</f>
        <v>25.1</v>
      </c>
      <c r="U15" s="20">
        <f>NetworkingLESS!AA16</f>
        <v>290.14</v>
      </c>
      <c r="V15" s="20">
        <f>NetworkingLESS!AH16</f>
        <v>2601.5499999999997</v>
      </c>
    </row>
    <row r="16" spans="1:22" x14ac:dyDescent="0.2">
      <c r="A16">
        <v>13</v>
      </c>
      <c r="B16" s="23">
        <f>NetworkingLESS!N17</f>
        <v>0.7320626048674691</v>
      </c>
      <c r="C16" s="23">
        <f>NetworkingLESS!V17</f>
        <v>0.73310925639185764</v>
      </c>
      <c r="D16" s="24">
        <f>NetworkingLESS!AD17</f>
        <v>0.23946739464697092</v>
      </c>
      <c r="E16" s="24"/>
      <c r="F16" s="20">
        <f>NetworkingLESS!E17</f>
        <v>1732.32</v>
      </c>
      <c r="G16" s="20">
        <f>NetworkingLESS!K17</f>
        <v>35.65</v>
      </c>
      <c r="H16" s="20">
        <f>NetworkingLESS!S17</f>
        <v>57.41</v>
      </c>
      <c r="I16" s="20">
        <f>NetworkingLESS!AA17</f>
        <v>749.64</v>
      </c>
      <c r="L16">
        <v>13</v>
      </c>
      <c r="M16" s="2">
        <f>NetworkingLESS!N17</f>
        <v>0.7320626048674691</v>
      </c>
      <c r="N16" s="2">
        <f>NetworkingLESS!V17</f>
        <v>0.73310925639185764</v>
      </c>
      <c r="O16" s="43">
        <f>NetworkingLESS!AD17</f>
        <v>0.23946739464697092</v>
      </c>
      <c r="P16" s="43">
        <f>NetworkingLESS!AK16</f>
        <v>4.1799978422821522E-2</v>
      </c>
      <c r="Q16" s="24"/>
      <c r="R16" s="20">
        <f>NetworkingLESS!E17</f>
        <v>1732.32</v>
      </c>
      <c r="S16" s="20">
        <f>NetworkingLESS!K17</f>
        <v>35.65</v>
      </c>
      <c r="T16" s="20">
        <f>NetworkingLESS!S17</f>
        <v>57.41</v>
      </c>
      <c r="U16" s="20">
        <f>NetworkingLESS!AA17</f>
        <v>749.64</v>
      </c>
      <c r="V16" s="20">
        <f>NetworkingLESS!AH17</f>
        <v>6781.25</v>
      </c>
    </row>
    <row r="17" spans="1:22" x14ac:dyDescent="0.2">
      <c r="A17">
        <v>14</v>
      </c>
      <c r="B17" s="23">
        <f>NetworkingLESS!N18</f>
        <v>0.76867450216613709</v>
      </c>
      <c r="C17" s="23">
        <f>NetworkingLESS!V18</f>
        <v>0.76054204679719239</v>
      </c>
      <c r="D17" s="24">
        <f>NetworkingLESS!AD18</f>
        <v>0.26318025605196571</v>
      </c>
      <c r="E17" s="24"/>
      <c r="F17" s="20">
        <f>NetworkingLESS!E18</f>
        <v>9234.91</v>
      </c>
      <c r="G17" s="20">
        <f>NetworkingLESS!K18</f>
        <v>66.44</v>
      </c>
      <c r="H17" s="20">
        <f>NetworkingLESS!S18</f>
        <v>104.96</v>
      </c>
      <c r="I17" s="20">
        <f>NetworkingLESS!AA18</f>
        <v>1209.1400000000001</v>
      </c>
      <c r="L17">
        <v>14</v>
      </c>
      <c r="M17" s="2">
        <f>NetworkingLESS!N18</f>
        <v>0.76867450216613709</v>
      </c>
      <c r="N17" s="2">
        <f>NetworkingLESS!V18</f>
        <v>0.76054204679719239</v>
      </c>
      <c r="O17" s="43">
        <f>NetworkingLESS!AD18</f>
        <v>0.26318025605196571</v>
      </c>
      <c r="P17" s="43">
        <f>NetworkingLESS!AK17</f>
        <v>9.4420679730028642E-2</v>
      </c>
      <c r="Q17" s="24"/>
      <c r="R17" s="20">
        <f>NetworkingLESS!E18</f>
        <v>9234.91</v>
      </c>
      <c r="S17" s="20">
        <f>NetworkingLESS!K18</f>
        <v>66.44</v>
      </c>
      <c r="T17" s="20">
        <f>NetworkingLESS!S18</f>
        <v>104.96</v>
      </c>
      <c r="U17" s="20">
        <f>NetworkingLESS!AA18</f>
        <v>1209.1400000000001</v>
      </c>
      <c r="V17" s="20">
        <f>NetworkingLESS!AH18</f>
        <v>11609.75</v>
      </c>
    </row>
    <row r="18" spans="1:22" x14ac:dyDescent="0.2">
      <c r="A18" s="22">
        <v>15</v>
      </c>
      <c r="B18" s="23">
        <f>NetworkingLESS!N19</f>
        <v>0.68917968979685051</v>
      </c>
      <c r="C18" s="23">
        <f>NetworkingLESS!V19</f>
        <v>0.68987193993093321</v>
      </c>
      <c r="D18" s="24">
        <f>NetworkingLESS!AD19</f>
        <v>0.19108570481753034</v>
      </c>
      <c r="E18" s="24"/>
      <c r="F18" s="20">
        <f>NetworkingLESS!E19</f>
        <v>50792.01</v>
      </c>
      <c r="G18" s="20">
        <f>NetworkingLESS!K19</f>
        <v>109.15</v>
      </c>
      <c r="H18" s="20">
        <f>NetworkingLESS!S19</f>
        <v>168.04</v>
      </c>
      <c r="I18" s="20">
        <f>NetworkingLESS!AA19</f>
        <v>1668.64</v>
      </c>
      <c r="L18" s="22">
        <v>15</v>
      </c>
      <c r="M18" s="2">
        <f>NetworkingLESS!N19</f>
        <v>0.68917968979685051</v>
      </c>
      <c r="N18" s="2">
        <f>NetworkingLESS!V19</f>
        <v>0.68987193993093321</v>
      </c>
      <c r="O18" s="43">
        <f>NetworkingLESS!AD19</f>
        <v>0.19108570481753034</v>
      </c>
      <c r="P18" s="43">
        <f>NetworkingLESS!AK18</f>
        <v>4.7400011734366317E-2</v>
      </c>
      <c r="Q18" s="24"/>
      <c r="R18" s="20">
        <f>NetworkingLESS!E19</f>
        <v>50792.01</v>
      </c>
      <c r="S18" s="20">
        <f>NetworkingLESS!K19</f>
        <v>109.15</v>
      </c>
      <c r="T18" s="20">
        <f>NetworkingLESS!S19</f>
        <v>168.04</v>
      </c>
      <c r="U18" s="20">
        <f>NetworkingLESS!AA19</f>
        <v>1668.64</v>
      </c>
      <c r="V18" s="20">
        <f>NetworkingLESS!AH19</f>
        <v>14829.849999999999</v>
      </c>
    </row>
    <row r="19" spans="1:22" ht="16" thickBot="1" x14ac:dyDescent="0.25">
      <c r="A19" s="31" t="s">
        <v>29</v>
      </c>
      <c r="B19" s="29">
        <f t="shared" ref="B19:I19" si="0">AVERAGE(B4:B18)</f>
        <v>0.62315534890154178</v>
      </c>
      <c r="C19" s="29">
        <f t="shared" si="0"/>
        <v>0.58555826338009809</v>
      </c>
      <c r="D19" s="29">
        <f t="shared" si="0"/>
        <v>0.2048556606475781</v>
      </c>
      <c r="E19" s="29"/>
      <c r="F19" s="30">
        <f t="shared" si="0"/>
        <v>4143.7006666666666</v>
      </c>
      <c r="G19" s="30">
        <f t="shared" si="0"/>
        <v>15.685333333333334</v>
      </c>
      <c r="H19" s="30">
        <f t="shared" si="0"/>
        <v>24.616</v>
      </c>
      <c r="I19" s="30">
        <f t="shared" si="0"/>
        <v>269.90400000000005</v>
      </c>
      <c r="L19" s="31" t="s">
        <v>29</v>
      </c>
      <c r="M19" s="44">
        <f t="shared" ref="M19:O19" si="1">AVERAGE(M4:M18)</f>
        <v>0.62315534890154178</v>
      </c>
      <c r="N19" s="44">
        <f t="shared" si="1"/>
        <v>0.58555826338009809</v>
      </c>
      <c r="O19" s="44">
        <f t="shared" si="1"/>
        <v>0.2048556606475781</v>
      </c>
      <c r="P19" s="44">
        <f>AVERAGE(P4:P18)</f>
        <v>5.0462309167025966E-2</v>
      </c>
      <c r="Q19" s="29"/>
      <c r="R19" s="30">
        <f t="shared" ref="R19:V19" si="2">AVERAGE(R4:R18)</f>
        <v>4143.7006666666666</v>
      </c>
      <c r="S19" s="30">
        <f t="shared" si="2"/>
        <v>15.685333333333334</v>
      </c>
      <c r="T19" s="30">
        <f t="shared" si="2"/>
        <v>24.616</v>
      </c>
      <c r="U19" s="30">
        <f t="shared" si="2"/>
        <v>269.90400000000005</v>
      </c>
      <c r="V19" s="30">
        <f t="shared" si="2"/>
        <v>2467.8599999999997</v>
      </c>
    </row>
    <row r="25" spans="1:22" ht="16" thickBot="1" x14ac:dyDescent="0.25">
      <c r="B25" s="33"/>
      <c r="C25" s="33"/>
      <c r="D25" s="33"/>
      <c r="E25" s="33"/>
      <c r="F25" s="33"/>
      <c r="G25" s="33"/>
      <c r="H25" s="33"/>
      <c r="I25" s="33"/>
    </row>
    <row r="26" spans="1:22" x14ac:dyDescent="0.2">
      <c r="A26" s="59" t="s">
        <v>1</v>
      </c>
      <c r="B26" s="63" t="s">
        <v>27</v>
      </c>
      <c r="C26" s="63"/>
      <c r="D26" s="63"/>
      <c r="E26" s="32"/>
      <c r="F26" s="61" t="s">
        <v>28</v>
      </c>
      <c r="G26" s="61"/>
      <c r="H26" s="61"/>
      <c r="I26" s="61"/>
    </row>
    <row r="27" spans="1:22" ht="32" x14ac:dyDescent="0.2">
      <c r="A27" s="60"/>
      <c r="B27" s="26" t="s">
        <v>31</v>
      </c>
      <c r="C27" s="26" t="s">
        <v>32</v>
      </c>
      <c r="D27" s="26" t="s">
        <v>33</v>
      </c>
      <c r="E27" s="27"/>
      <c r="F27" s="28" t="s">
        <v>30</v>
      </c>
      <c r="G27" s="26" t="s">
        <v>31</v>
      </c>
      <c r="H27" s="26" t="s">
        <v>32</v>
      </c>
      <c r="I27" s="26" t="s">
        <v>33</v>
      </c>
    </row>
    <row r="28" spans="1:22" x14ac:dyDescent="0.2">
      <c r="A28">
        <v>1</v>
      </c>
      <c r="B28" s="23">
        <f>NetworkingLESS!N5</f>
        <v>0.24545454545454545</v>
      </c>
      <c r="C28" s="23">
        <f>NetworkingLESS!V5</f>
        <v>0.24545454545454545</v>
      </c>
      <c r="D28" s="24">
        <f>NetworkingLESS!AD5</f>
        <v>0.24545454545454545</v>
      </c>
      <c r="E28" s="24"/>
      <c r="F28" s="20">
        <f>NetworkingLESS!E5</f>
        <v>0.02</v>
      </c>
      <c r="G28" s="20">
        <f>NetworkingLESS!K5</f>
        <v>0</v>
      </c>
      <c r="H28" s="20">
        <f>NetworkingLESS!S5</f>
        <v>0</v>
      </c>
      <c r="I28" s="20">
        <f>NetworkingLESS!AA5</f>
        <v>0.03</v>
      </c>
    </row>
    <row r="29" spans="1:22" x14ac:dyDescent="0.2">
      <c r="A29">
        <v>2</v>
      </c>
      <c r="B29" s="23">
        <f>NetworkingLESS!N6</f>
        <v>0.60356652949245537</v>
      </c>
      <c r="C29" s="23">
        <f>NetworkingLESS!V6</f>
        <v>0.60356652949245537</v>
      </c>
      <c r="D29" s="24">
        <f>NetworkingLESS!AD6</f>
        <v>0.19204389574759945</v>
      </c>
      <c r="E29" s="24"/>
      <c r="F29" s="20">
        <f>NetworkingLESS!E6</f>
        <v>7.0000000000000007E-2</v>
      </c>
      <c r="G29" s="20">
        <f>NetworkingLESS!K6</f>
        <v>0</v>
      </c>
      <c r="H29" s="20">
        <f>NetworkingLESS!S6</f>
        <v>0</v>
      </c>
      <c r="I29" s="20">
        <f>NetworkingLESS!AA6</f>
        <v>0.06</v>
      </c>
    </row>
    <row r="30" spans="1:22" x14ac:dyDescent="0.2">
      <c r="A30">
        <v>3</v>
      </c>
      <c r="B30" s="23">
        <f>NetworkingLESS!N7</f>
        <v>0.51855181431840469</v>
      </c>
      <c r="C30" s="23">
        <f>NetworkingLESS!V7</f>
        <v>0.40209218698921217</v>
      </c>
      <c r="D30" s="24">
        <f>NetworkingLESS!AD7</f>
        <v>0.1443690748610657</v>
      </c>
      <c r="E30" s="24"/>
      <c r="F30" s="20">
        <f>NetworkingLESS!E7</f>
        <v>0.1</v>
      </c>
      <c r="G30" s="20">
        <f>NetworkingLESS!K7</f>
        <v>0</v>
      </c>
      <c r="H30" s="20">
        <f>NetworkingLESS!S7</f>
        <v>0</v>
      </c>
      <c r="I30" s="20">
        <f>NetworkingLESS!AA7</f>
        <v>0.1</v>
      </c>
    </row>
    <row r="31" spans="1:22" x14ac:dyDescent="0.2">
      <c r="A31">
        <v>4</v>
      </c>
      <c r="B31" s="23">
        <f>NetworkingLESS!N8</f>
        <v>0.62927627095543137</v>
      </c>
      <c r="C31" s="23">
        <f>NetworkingLESS!V8</f>
        <v>0.46388169551587843</v>
      </c>
      <c r="D31" s="24">
        <f>NetworkingLESS!AD8</f>
        <v>0.26298214529099084</v>
      </c>
      <c r="E31" s="24"/>
      <c r="F31" s="20">
        <f>NetworkingLESS!E8</f>
        <v>0.27</v>
      </c>
      <c r="G31" s="20">
        <f>NetworkingLESS!K8</f>
        <v>0.02</v>
      </c>
      <c r="H31" s="20">
        <f>NetworkingLESS!S8</f>
        <v>0.05</v>
      </c>
      <c r="I31" s="20">
        <f>NetworkingLESS!AA8</f>
        <v>0.33</v>
      </c>
    </row>
    <row r="32" spans="1:22" x14ac:dyDescent="0.2">
      <c r="A32">
        <v>5</v>
      </c>
      <c r="B32" s="23">
        <f>NetworkingLESS!N9</f>
        <v>0.68208098307816278</v>
      </c>
      <c r="C32" s="23">
        <f>NetworkingLESS!V9</f>
        <v>0.5952659145850121</v>
      </c>
      <c r="D32" s="24">
        <f>NetworkingLESS!AD9</f>
        <v>0.17913980660757453</v>
      </c>
      <c r="E32" s="24"/>
      <c r="F32" s="20">
        <f>NetworkingLESS!E9</f>
        <v>0.41</v>
      </c>
      <c r="G32" s="20">
        <f>NetworkingLESS!K9</f>
        <v>0.05</v>
      </c>
      <c r="H32" s="20">
        <f>NetworkingLESS!S9</f>
        <v>0.09</v>
      </c>
      <c r="I32" s="20">
        <f>NetworkingLESS!AA9</f>
        <v>0.56999999999999995</v>
      </c>
    </row>
    <row r="33" spans="1:9" x14ac:dyDescent="0.2">
      <c r="A33">
        <v>6</v>
      </c>
      <c r="B33" s="23">
        <f>NetworkingLESS!N10</f>
        <v>0.31385668008840178</v>
      </c>
      <c r="C33" s="23">
        <f>NetworkingLESS!V10</f>
        <v>0.31343283582089554</v>
      </c>
      <c r="D33" s="24">
        <f>NetworkingLESS!AD10</f>
        <v>0.19297024007750296</v>
      </c>
      <c r="E33" s="24"/>
      <c r="F33" s="20">
        <f>NetworkingLESS!E10</f>
        <v>0.63</v>
      </c>
      <c r="G33" s="20">
        <f>NetworkingLESS!K10</f>
        <v>0.1</v>
      </c>
      <c r="H33" s="20">
        <f>NetworkingLESS!S10</f>
        <v>0.19</v>
      </c>
      <c r="I33" s="20">
        <f>NetworkingLESS!AA10</f>
        <v>1.1000000000000001</v>
      </c>
    </row>
    <row r="34" spans="1:9" x14ac:dyDescent="0.2">
      <c r="A34">
        <v>7</v>
      </c>
      <c r="B34" s="23">
        <f>NetworkingLESS!N11</f>
        <v>0.70056198747867648</v>
      </c>
      <c r="C34" s="23">
        <f>NetworkingLESS!V11</f>
        <v>0.52568776356693192</v>
      </c>
      <c r="D34" s="24">
        <f>NetworkingLESS!AD11</f>
        <v>0.18213070322038741</v>
      </c>
      <c r="E34" s="24"/>
      <c r="F34" s="20">
        <f>NetworkingLESS!E11</f>
        <v>1.29</v>
      </c>
      <c r="G34" s="20">
        <f>NetworkingLESS!K11</f>
        <v>0.15</v>
      </c>
      <c r="H34" s="20">
        <f>NetworkingLESS!S11</f>
        <v>0.24</v>
      </c>
      <c r="I34" s="20">
        <f>NetworkingLESS!AA11</f>
        <v>2.2400000000000002</v>
      </c>
    </row>
    <row r="35" spans="1:9" x14ac:dyDescent="0.2">
      <c r="A35">
        <v>8</v>
      </c>
      <c r="B35" s="23">
        <f>NetworkingLESS!N12</f>
        <v>0.70038217385671719</v>
      </c>
      <c r="C35" s="23">
        <f>NetworkingLESS!V12</f>
        <v>0.68401023448633247</v>
      </c>
      <c r="D35" s="24">
        <f>NetworkingLESS!AD12</f>
        <v>0.24333894718659585</v>
      </c>
      <c r="E35" s="24"/>
      <c r="F35" s="20">
        <f>NetworkingLESS!E12</f>
        <v>4.26</v>
      </c>
      <c r="G35" s="20">
        <f>NetworkingLESS!K12</f>
        <v>0.6</v>
      </c>
      <c r="H35" s="20">
        <f>NetworkingLESS!S12</f>
        <v>0.97</v>
      </c>
      <c r="I35" s="20">
        <f>NetworkingLESS!AA12</f>
        <v>8.75</v>
      </c>
    </row>
    <row r="36" spans="1:9" x14ac:dyDescent="0.2">
      <c r="A36">
        <v>9</v>
      </c>
      <c r="B36" s="23">
        <f>NetworkingLESS!N13</f>
        <v>0.66356532099803756</v>
      </c>
      <c r="C36" s="23">
        <f>NetworkingLESS!V13</f>
        <v>0.66393327726380713</v>
      </c>
      <c r="D36" s="24">
        <f>NetworkingLESS!AD13</f>
        <v>0.17018102447034322</v>
      </c>
      <c r="E36" s="24"/>
      <c r="F36" s="20">
        <f>NetworkingLESS!E13</f>
        <v>11.3</v>
      </c>
      <c r="G36" s="20">
        <f>NetworkingLESS!K13</f>
        <v>1.36</v>
      </c>
      <c r="H36" s="20">
        <f>NetworkingLESS!S13</f>
        <v>2.1800000000000002</v>
      </c>
      <c r="I36" s="20">
        <f>NetworkingLESS!AA13</f>
        <v>20.100000000000001</v>
      </c>
    </row>
    <row r="37" spans="1:9" x14ac:dyDescent="0.2">
      <c r="A37">
        <v>10</v>
      </c>
      <c r="B37" s="23">
        <f>NetworkingLESS!N14</f>
        <v>0.63726798561345743</v>
      </c>
      <c r="C37" s="23">
        <f>NetworkingLESS!V14</f>
        <v>0.63810788608092273</v>
      </c>
      <c r="D37" s="24">
        <f>NetworkingLESS!AD14</f>
        <v>0.20905404045159803</v>
      </c>
      <c r="E37" s="24"/>
      <c r="F37" s="20">
        <f>NetworkingLESS!E14</f>
        <v>24.03</v>
      </c>
      <c r="G37" s="20">
        <f>NetworkingLESS!K14</f>
        <v>2.4300000000000002</v>
      </c>
      <c r="H37" s="20">
        <f>NetworkingLESS!S14</f>
        <v>3.88</v>
      </c>
      <c r="I37" s="20">
        <f>NetworkingLESS!AA14</f>
        <v>37.33</v>
      </c>
    </row>
    <row r="38" spans="1:9" x14ac:dyDescent="0.2">
      <c r="A38">
        <v>11</v>
      </c>
      <c r="B38" s="23">
        <f>NetworkingLESS!N15</f>
        <v>0.70677433427903735</v>
      </c>
      <c r="C38" s="23">
        <f>NetworkingLESS!V15</f>
        <v>0.70766909437496006</v>
      </c>
      <c r="D38" s="24">
        <f>NetworkingLESS!AD15</f>
        <v>0.15677475109274661</v>
      </c>
      <c r="E38" s="24"/>
      <c r="F38" s="20">
        <f>NetworkingLESS!E15</f>
        <v>43.93</v>
      </c>
      <c r="G38" s="20">
        <f>NetworkingLESS!K15</f>
        <v>3.8</v>
      </c>
      <c r="H38" s="20">
        <f>NetworkingLESS!S15</f>
        <v>6.13</v>
      </c>
      <c r="I38" s="20">
        <f>NetworkingLESS!AA15</f>
        <v>60.39</v>
      </c>
    </row>
    <row r="39" spans="1:9" x14ac:dyDescent="0.2">
      <c r="A39">
        <v>12</v>
      </c>
      <c r="B39" s="23">
        <f>NetworkingLESS!N16</f>
        <v>0.75607481107934316</v>
      </c>
      <c r="C39" s="23">
        <f>NetworkingLESS!V16</f>
        <v>0.75674874395053215</v>
      </c>
      <c r="D39" s="24">
        <f>NetworkingLESS!AD16</f>
        <v>0.20066237973625439</v>
      </c>
      <c r="E39" s="24"/>
      <c r="F39" s="20">
        <f>NetworkingLESS!E16</f>
        <v>309.95999999999998</v>
      </c>
      <c r="G39" s="20">
        <f>NetworkingLESS!K16</f>
        <v>15.53</v>
      </c>
      <c r="H39" s="20">
        <f>NetworkingLESS!S16</f>
        <v>25.1</v>
      </c>
      <c r="I39" s="20">
        <f>NetworkingLESS!AA16</f>
        <v>290.14</v>
      </c>
    </row>
    <row r="40" spans="1:9" x14ac:dyDescent="0.2">
      <c r="A40">
        <v>13</v>
      </c>
      <c r="B40" s="23">
        <f>NetworkingLESS!N17</f>
        <v>0.7320626048674691</v>
      </c>
      <c r="C40" s="23">
        <f>NetworkingLESS!V17</f>
        <v>0.73310925639185764</v>
      </c>
      <c r="D40" s="24">
        <f>NetworkingLESS!AD17</f>
        <v>0.23946739464697092</v>
      </c>
      <c r="E40" s="24"/>
      <c r="F40" s="20">
        <f>NetworkingLESS!E17</f>
        <v>1732.32</v>
      </c>
      <c r="G40" s="20">
        <f>NetworkingLESS!K17</f>
        <v>35.65</v>
      </c>
      <c r="H40" s="20">
        <f>NetworkingLESS!S17</f>
        <v>57.41</v>
      </c>
      <c r="I40" s="20">
        <f>NetworkingLESS!AA17</f>
        <v>749.64</v>
      </c>
    </row>
    <row r="41" spans="1:9" x14ac:dyDescent="0.2">
      <c r="A41">
        <v>14</v>
      </c>
      <c r="B41" s="23">
        <f>NetworkingLESS!N18</f>
        <v>0.76867450216613709</v>
      </c>
      <c r="C41" s="23">
        <f>NetworkingLESS!V18</f>
        <v>0.76054204679719239</v>
      </c>
      <c r="D41" s="24">
        <f>NetworkingLESS!AD18</f>
        <v>0.26318025605196571</v>
      </c>
      <c r="E41" s="24"/>
      <c r="F41" s="20">
        <f>NetworkingLESS!E18</f>
        <v>9234.91</v>
      </c>
      <c r="G41" s="20">
        <f>NetworkingLESS!K18</f>
        <v>66.44</v>
      </c>
      <c r="H41" s="20">
        <f>NetworkingLESS!S18</f>
        <v>104.96</v>
      </c>
      <c r="I41" s="20">
        <f>NetworkingLESS!AA18</f>
        <v>1209.1400000000001</v>
      </c>
    </row>
    <row r="42" spans="1:9" x14ac:dyDescent="0.2">
      <c r="A42" s="22">
        <v>15</v>
      </c>
      <c r="B42" s="23">
        <f>NetworkingLESS!N19</f>
        <v>0.68917968979685051</v>
      </c>
      <c r="C42" s="23">
        <f>NetworkingLESS!V19</f>
        <v>0.68987193993093321</v>
      </c>
      <c r="D42" s="24">
        <f>NetworkingLESS!AD19</f>
        <v>0.19108570481753034</v>
      </c>
      <c r="E42" s="24"/>
      <c r="F42" s="20">
        <f>NetworkingLESS!E19</f>
        <v>50792.01</v>
      </c>
      <c r="G42" s="20">
        <f>NetworkingLESS!K19</f>
        <v>109.15</v>
      </c>
      <c r="H42" s="20">
        <f>NetworkingLESS!S19</f>
        <v>168.04</v>
      </c>
      <c r="I42" s="20">
        <f>NetworkingLESS!AA19</f>
        <v>1668.64</v>
      </c>
    </row>
    <row r="43" spans="1:9" ht="16" thickBot="1" x14ac:dyDescent="0.25">
      <c r="A43" s="31" t="s">
        <v>29</v>
      </c>
      <c r="B43" s="29">
        <f t="shared" ref="B43:D43" si="3">AVERAGE(B28:B42)</f>
        <v>0.62315534890154178</v>
      </c>
      <c r="C43" s="29">
        <f t="shared" si="3"/>
        <v>0.58555826338009809</v>
      </c>
      <c r="D43" s="29">
        <f t="shared" si="3"/>
        <v>0.2048556606475781</v>
      </c>
      <c r="E43" s="29"/>
      <c r="F43" s="30">
        <f t="shared" ref="F43:I43" si="4">AVERAGE(F28:F42)</f>
        <v>4143.7006666666666</v>
      </c>
      <c r="G43" s="30">
        <f t="shared" si="4"/>
        <v>15.685333333333334</v>
      </c>
      <c r="H43" s="30">
        <f t="shared" si="4"/>
        <v>24.616</v>
      </c>
      <c r="I43" s="30">
        <f t="shared" si="4"/>
        <v>269.90400000000005</v>
      </c>
    </row>
  </sheetData>
  <mergeCells count="9">
    <mergeCell ref="L2:L3"/>
    <mergeCell ref="R2:V2"/>
    <mergeCell ref="M2:P2"/>
    <mergeCell ref="A26:A27"/>
    <mergeCell ref="B26:D26"/>
    <mergeCell ref="F26:I26"/>
    <mergeCell ref="A2:A3"/>
    <mergeCell ref="B2:D2"/>
    <mergeCell ref="F2:I2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35A-7EB1-C14F-935D-FC60577D8149}">
  <dimension ref="A1:Q26"/>
  <sheetViews>
    <sheetView workbookViewId="0">
      <selection activeCell="Q25" sqref="Q25"/>
    </sheetView>
  </sheetViews>
  <sheetFormatPr baseColWidth="10" defaultRowHeight="15" x14ac:dyDescent="0.2"/>
  <cols>
    <col min="2" max="3" width="17" customWidth="1"/>
    <col min="4" max="4" width="3.33203125" customWidth="1"/>
    <col min="9" max="9" width="7.1640625" customWidth="1"/>
    <col min="10" max="12" width="8.1640625" customWidth="1"/>
    <col min="13" max="13" width="2.83203125" customWidth="1"/>
    <col min="14" max="16" width="8.1640625" customWidth="1"/>
    <col min="17" max="17" width="11.1640625" customWidth="1"/>
  </cols>
  <sheetData>
    <row r="1" spans="1:17" ht="16" thickBot="1" x14ac:dyDescent="0.25">
      <c r="A1" s="9"/>
      <c r="B1" s="34"/>
      <c r="C1" s="34"/>
      <c r="D1" s="34"/>
      <c r="E1" s="34"/>
      <c r="F1" s="34"/>
      <c r="G1" s="34"/>
      <c r="I1" s="9"/>
      <c r="J1" s="34"/>
      <c r="K1" s="34"/>
      <c r="L1" s="34"/>
      <c r="M1" s="34"/>
      <c r="N1" s="34"/>
      <c r="O1" s="34"/>
      <c r="P1" s="34"/>
      <c r="Q1" s="34"/>
    </row>
    <row r="2" spans="1:17" ht="28" customHeight="1" x14ac:dyDescent="0.2">
      <c r="A2" s="64" t="s">
        <v>1</v>
      </c>
      <c r="B2" s="62" t="s">
        <v>34</v>
      </c>
      <c r="C2" s="62"/>
      <c r="D2" s="32"/>
      <c r="E2" s="62" t="s">
        <v>28</v>
      </c>
      <c r="F2" s="62"/>
      <c r="G2" s="62"/>
      <c r="I2" s="64" t="s">
        <v>1</v>
      </c>
      <c r="J2" s="66" t="s">
        <v>42</v>
      </c>
      <c r="K2" s="62"/>
      <c r="L2" s="62"/>
      <c r="M2" s="32"/>
      <c r="N2" s="62" t="s">
        <v>28</v>
      </c>
      <c r="O2" s="62"/>
      <c r="P2" s="62"/>
      <c r="Q2" s="62"/>
    </row>
    <row r="3" spans="1:17" ht="35" customHeight="1" x14ac:dyDescent="0.2">
      <c r="A3" s="65"/>
      <c r="B3" s="27" t="s">
        <v>31</v>
      </c>
      <c r="C3" s="27" t="s">
        <v>32</v>
      </c>
      <c r="D3" s="27"/>
      <c r="E3" s="27" t="s">
        <v>31</v>
      </c>
      <c r="F3" s="27" t="s">
        <v>32</v>
      </c>
      <c r="G3" s="27" t="s">
        <v>33</v>
      </c>
      <c r="I3" s="65"/>
      <c r="J3" s="27" t="s">
        <v>37</v>
      </c>
      <c r="K3" s="27" t="s">
        <v>38</v>
      </c>
      <c r="L3" s="27" t="s">
        <v>39</v>
      </c>
      <c r="M3" s="27"/>
      <c r="N3" s="27" t="s">
        <v>37</v>
      </c>
      <c r="O3" s="27" t="s">
        <v>38</v>
      </c>
      <c r="P3" s="27" t="s">
        <v>39</v>
      </c>
      <c r="Q3" s="27" t="s">
        <v>41</v>
      </c>
    </row>
    <row r="4" spans="1:17" x14ac:dyDescent="0.2">
      <c r="A4" s="38">
        <v>1</v>
      </c>
      <c r="B4" s="35">
        <f>NetworkingLESS!O5</f>
        <v>0</v>
      </c>
      <c r="C4" s="35">
        <f>NetworkingLESS!W5</f>
        <v>0</v>
      </c>
      <c r="D4" s="25"/>
      <c r="E4" s="40">
        <f>NetworkingLESS!K5</f>
        <v>0</v>
      </c>
      <c r="F4" s="20">
        <f>NetworkingLESS!S5</f>
        <v>0</v>
      </c>
      <c r="G4" s="20">
        <f>NetworkingLESS!AA5</f>
        <v>0.03</v>
      </c>
      <c r="I4" s="38">
        <v>1</v>
      </c>
      <c r="J4" s="42">
        <f>NetworkingLESS!P5</f>
        <v>0.23119092627599244</v>
      </c>
      <c r="K4" s="42">
        <f>NetworkingLESS!X5</f>
        <v>0.23119092627599244</v>
      </c>
      <c r="L4" s="42">
        <f>NetworkingLESS!AE4</f>
        <v>0</v>
      </c>
      <c r="M4" s="25"/>
      <c r="N4" s="40">
        <f>NetworkingLESS!K5</f>
        <v>0</v>
      </c>
      <c r="O4" s="20">
        <f>NetworkingLESS!S5</f>
        <v>0</v>
      </c>
      <c r="P4" s="20">
        <f>NetworkingLESS!AA5</f>
        <v>0.03</v>
      </c>
      <c r="Q4" s="20">
        <f>NetworkingLESS!AH5</f>
        <v>3.4000000000000004</v>
      </c>
    </row>
    <row r="5" spans="1:17" x14ac:dyDescent="0.2">
      <c r="A5" s="9">
        <v>2</v>
      </c>
      <c r="B5" s="35">
        <f>NetworkingLESS!O6</f>
        <v>0.50933786078098475</v>
      </c>
      <c r="C5" s="35">
        <f>NetworkingLESS!W6</f>
        <v>0.50933786078098475</v>
      </c>
      <c r="D5" s="25"/>
      <c r="E5" s="40">
        <f>NetworkingLESS!K6</f>
        <v>0</v>
      </c>
      <c r="F5" s="20">
        <f>NetworkingLESS!S6</f>
        <v>0</v>
      </c>
      <c r="G5" s="20">
        <f>NetworkingLESS!AA6</f>
        <v>0.06</v>
      </c>
      <c r="I5" s="9">
        <v>2</v>
      </c>
      <c r="J5" s="42">
        <f>NetworkingLESS!P6</f>
        <v>0.58357348703170031</v>
      </c>
      <c r="K5" s="42">
        <f>NetworkingLESS!X6</f>
        <v>0.58357348703170031</v>
      </c>
      <c r="L5" s="42">
        <f>NetworkingLESS!AE5</f>
        <v>0.23119092627599244</v>
      </c>
      <c r="M5" s="25"/>
      <c r="N5" s="40">
        <f>NetworkingLESS!K6</f>
        <v>0</v>
      </c>
      <c r="O5" s="20">
        <f>NetworkingLESS!S6</f>
        <v>0</v>
      </c>
      <c r="P5" s="20">
        <f>NetworkingLESS!AA6</f>
        <v>0.06</v>
      </c>
      <c r="Q5" s="20">
        <f>NetworkingLESS!AH6</f>
        <v>3.65</v>
      </c>
    </row>
    <row r="6" spans="1:17" x14ac:dyDescent="0.2">
      <c r="A6" s="9">
        <v>3</v>
      </c>
      <c r="B6" s="35">
        <f>NetworkingLESS!O7</f>
        <v>0.43731792349204834</v>
      </c>
      <c r="C6" s="35">
        <f>NetworkingLESS!W7</f>
        <v>0.30120827164621045</v>
      </c>
      <c r="D6" s="25"/>
      <c r="E6" s="40">
        <f>NetworkingLESS!K7</f>
        <v>0</v>
      </c>
      <c r="F6" s="20">
        <f>NetworkingLESS!S7</f>
        <v>0</v>
      </c>
      <c r="G6" s="20">
        <f>NetworkingLESS!AA7</f>
        <v>0.1</v>
      </c>
      <c r="I6" s="9">
        <v>3</v>
      </c>
      <c r="J6" s="42">
        <f>NetworkingLESS!P7</f>
        <v>0.49786907603136721</v>
      </c>
      <c r="K6" s="42">
        <f>NetworkingLESS!X7</f>
        <v>0.37640640981929763</v>
      </c>
      <c r="L6" s="42">
        <f>NetworkingLESS!AE6</f>
        <v>0.15129682997118155</v>
      </c>
      <c r="M6" s="25"/>
      <c r="N6" s="40">
        <f>NetworkingLESS!K7</f>
        <v>0</v>
      </c>
      <c r="O6" s="20">
        <f>NetworkingLESS!S7</f>
        <v>0</v>
      </c>
      <c r="P6" s="20">
        <f>NetworkingLESS!AA7</f>
        <v>0.1</v>
      </c>
      <c r="Q6" s="20">
        <f>NetworkingLESS!AH7</f>
        <v>3.85</v>
      </c>
    </row>
    <row r="7" spans="1:17" x14ac:dyDescent="0.2">
      <c r="A7" s="9">
        <v>4</v>
      </c>
      <c r="B7" s="35">
        <f>NetworkingLESS!O8</f>
        <v>0.49699491447064265</v>
      </c>
      <c r="C7" s="35">
        <f>NetworkingLESS!W8</f>
        <v>0.27258437355524734</v>
      </c>
      <c r="D7" s="25"/>
      <c r="E7" s="40">
        <f>NetworkingLESS!K8</f>
        <v>0.02</v>
      </c>
      <c r="F7" s="20">
        <f>NetworkingLESS!S8</f>
        <v>0.05</v>
      </c>
      <c r="G7" s="20">
        <f>NetworkingLESS!AA8</f>
        <v>0.33</v>
      </c>
      <c r="I7" s="9">
        <v>4</v>
      </c>
      <c r="J7" s="42">
        <f>NetworkingLESS!P8</f>
        <v>0.60357077791947533</v>
      </c>
      <c r="K7" s="42">
        <f>NetworkingLESS!X8</f>
        <v>0.42670796137730005</v>
      </c>
      <c r="L7" s="42">
        <f>NetworkingLESS!AE7</f>
        <v>0.10761166041595636</v>
      </c>
      <c r="M7" s="25"/>
      <c r="N7" s="40">
        <f>NetworkingLESS!K8</f>
        <v>0.02</v>
      </c>
      <c r="O7" s="20">
        <f>NetworkingLESS!S8</f>
        <v>0.05</v>
      </c>
      <c r="P7" s="20">
        <f>NetworkingLESS!AA8</f>
        <v>0.33</v>
      </c>
      <c r="Q7" s="20">
        <f>NetworkingLESS!AH8</f>
        <v>4.95</v>
      </c>
    </row>
    <row r="8" spans="1:17" x14ac:dyDescent="0.2">
      <c r="A8" s="9">
        <v>5</v>
      </c>
      <c r="B8" s="35">
        <f>NetworkingLESS!O9</f>
        <v>0.61270016565433461</v>
      </c>
      <c r="C8" s="35">
        <f>NetworkingLESS!W9</f>
        <v>0.50693907601693355</v>
      </c>
      <c r="D8" s="25"/>
      <c r="E8" s="40">
        <f>NetworkingLESS!K9</f>
        <v>0.05</v>
      </c>
      <c r="F8" s="20">
        <f>NetworkingLESS!S9</f>
        <v>0.09</v>
      </c>
      <c r="G8" s="20">
        <f>NetworkingLESS!AA9</f>
        <v>0.56999999999999995</v>
      </c>
      <c r="I8" s="9">
        <v>5</v>
      </c>
      <c r="J8" s="42">
        <f>NetworkingLESS!P9</f>
        <v>0.65739313548835288</v>
      </c>
      <c r="K8" s="42">
        <f>NetworkingLESS!X9</f>
        <v>0.56383648481427606</v>
      </c>
      <c r="L8" s="42">
        <f>NetworkingLESS!AE8</f>
        <v>0.21187830205866279</v>
      </c>
      <c r="M8" s="25"/>
      <c r="N8" s="40">
        <f>NetworkingLESS!K9</f>
        <v>0.05</v>
      </c>
      <c r="O8" s="20">
        <f>NetworkingLESS!S9</f>
        <v>0.09</v>
      </c>
      <c r="P8" s="20">
        <f>NetworkingLESS!AA9</f>
        <v>0.56999999999999995</v>
      </c>
      <c r="Q8" s="20">
        <f>NetworkingLESS!AH9</f>
        <v>5.4</v>
      </c>
    </row>
    <row r="9" spans="1:17" x14ac:dyDescent="0.2">
      <c r="A9" s="9">
        <v>6</v>
      </c>
      <c r="B9" s="35">
        <f>NetworkingLESS!O10</f>
        <v>0.14979179952732866</v>
      </c>
      <c r="C9" s="35">
        <f>NetworkingLESS!W10</f>
        <v>0.14926660914581535</v>
      </c>
      <c r="D9" s="25"/>
      <c r="E9" s="40">
        <f>NetworkingLESS!K10</f>
        <v>0.1</v>
      </c>
      <c r="F9" s="20">
        <f>NetworkingLESS!S10</f>
        <v>0.19</v>
      </c>
      <c r="G9" s="20">
        <f>NetworkingLESS!AA10</f>
        <v>1.1000000000000001</v>
      </c>
      <c r="I9" s="9">
        <v>6</v>
      </c>
      <c r="J9" s="42">
        <f>NetworkingLESS!P10</f>
        <v>0.28897254901960784</v>
      </c>
      <c r="K9" s="42">
        <f>NetworkingLESS!X10</f>
        <v>0.28853333333333331</v>
      </c>
      <c r="L9" s="42">
        <f>NetworkingLESS!AE9</f>
        <v>0.11539630506046067</v>
      </c>
      <c r="M9" s="25"/>
      <c r="N9" s="40">
        <f>NetworkingLESS!K10</f>
        <v>0.1</v>
      </c>
      <c r="O9" s="20">
        <f>NetworkingLESS!S10</f>
        <v>0.19</v>
      </c>
      <c r="P9" s="20">
        <f>NetworkingLESS!AA10</f>
        <v>1.1000000000000001</v>
      </c>
      <c r="Q9" s="20">
        <f>NetworkingLESS!AH10</f>
        <v>10.149999999999999</v>
      </c>
    </row>
    <row r="10" spans="1:17" x14ac:dyDescent="0.2">
      <c r="A10" s="9">
        <v>7</v>
      </c>
      <c r="B10" s="35">
        <f>NetworkingLESS!O11</f>
        <v>0.63388035997882475</v>
      </c>
      <c r="C10" s="35">
        <f>NetworkingLESS!W11</f>
        <v>0.4200635256749603</v>
      </c>
      <c r="D10" s="25"/>
      <c r="E10" s="40">
        <f>NetworkingLESS!K11</f>
        <v>0.15</v>
      </c>
      <c r="F10" s="20">
        <f>NetworkingLESS!S11</f>
        <v>0.24</v>
      </c>
      <c r="G10" s="20">
        <f>NetworkingLESS!AA11</f>
        <v>2.2400000000000002</v>
      </c>
      <c r="I10" s="9">
        <v>7</v>
      </c>
      <c r="J10" s="42">
        <f>NetworkingLESS!P11</f>
        <v>0.67340385341896492</v>
      </c>
      <c r="K10" s="42">
        <f>NetworkingLESS!X11</f>
        <v>0.48266905931242915</v>
      </c>
      <c r="L10" s="42">
        <f>NetworkingLESS!AE10</f>
        <v>0.16370196078431373</v>
      </c>
      <c r="M10" s="25"/>
      <c r="N10" s="40">
        <f>NetworkingLESS!K11</f>
        <v>0.15</v>
      </c>
      <c r="O10" s="20">
        <f>NetworkingLESS!S11</f>
        <v>0.24</v>
      </c>
      <c r="P10" s="20">
        <f>NetworkingLESS!AA11</f>
        <v>2.2400000000000002</v>
      </c>
      <c r="Q10" s="20">
        <f>NetworkingLESS!AH11</f>
        <v>21.8</v>
      </c>
    </row>
    <row r="11" spans="1:17" x14ac:dyDescent="0.2">
      <c r="A11" s="9">
        <v>8</v>
      </c>
      <c r="B11" s="35">
        <f>NetworkingLESS!O12</f>
        <v>0.60402636685309896</v>
      </c>
      <c r="C11" s="35">
        <f>NetworkingLESS!W12</f>
        <v>0.58238928204542861</v>
      </c>
      <c r="D11" s="25"/>
      <c r="E11" s="40">
        <f>NetworkingLESS!K12</f>
        <v>0.6</v>
      </c>
      <c r="F11" s="20">
        <f>NetworkingLESS!S12</f>
        <v>0.97</v>
      </c>
      <c r="G11" s="20">
        <f>NetworkingLESS!AA12</f>
        <v>8.75</v>
      </c>
      <c r="I11" s="9">
        <v>8</v>
      </c>
      <c r="J11" s="42">
        <f>NetworkingLESS!P12</f>
        <v>0.68408111692288431</v>
      </c>
      <c r="K11" s="42">
        <f>NetworkingLESS!X12</f>
        <v>0.66681844311513572</v>
      </c>
      <c r="L11" s="42">
        <f>NetworkingLESS!AE11</f>
        <v>0.10795239894219871</v>
      </c>
      <c r="M11" s="25"/>
      <c r="N11" s="40">
        <f>NetworkingLESS!K12</f>
        <v>0.6</v>
      </c>
      <c r="O11" s="20">
        <f>NetworkingLESS!S12</f>
        <v>0.97</v>
      </c>
      <c r="P11" s="20">
        <f>NetworkingLESS!AA12</f>
        <v>8.75</v>
      </c>
      <c r="Q11" s="20">
        <f>NetworkingLESS!AH12</f>
        <v>79.099999999999994</v>
      </c>
    </row>
    <row r="12" spans="1:17" x14ac:dyDescent="0.2">
      <c r="A12" s="9">
        <v>9</v>
      </c>
      <c r="B12" s="35">
        <f>NetworkingLESS!O13</f>
        <v>0.59456858794145684</v>
      </c>
      <c r="C12" s="35">
        <f>NetworkingLESS!W13</f>
        <v>0.59501200545373378</v>
      </c>
      <c r="D12" s="25"/>
      <c r="E12" s="40">
        <f>NetworkingLESS!K13</f>
        <v>1.36</v>
      </c>
      <c r="F12" s="20">
        <f>NetworkingLESS!S13</f>
        <v>2.1800000000000002</v>
      </c>
      <c r="G12" s="20">
        <f>NetworkingLESS!AA13</f>
        <v>20.100000000000001</v>
      </c>
      <c r="I12" s="9">
        <v>9</v>
      </c>
      <c r="J12" s="42">
        <f>NetworkingLESS!P13</f>
        <v>0.63600837895403894</v>
      </c>
      <c r="K12" s="42">
        <f>NetworkingLESS!X13</f>
        <v>0.63640647405543815</v>
      </c>
      <c r="L12" s="42">
        <f>NetworkingLESS!AE12</f>
        <v>0.2021719209775921</v>
      </c>
      <c r="M12" s="25"/>
      <c r="N12" s="40">
        <f>NetworkingLESS!K13</f>
        <v>1.36</v>
      </c>
      <c r="O12" s="20">
        <f>NetworkingLESS!S13</f>
        <v>2.1800000000000002</v>
      </c>
      <c r="P12" s="20">
        <f>NetworkingLESS!AA13</f>
        <v>20.100000000000001</v>
      </c>
      <c r="Q12" s="20">
        <f>NetworkingLESS!AH13</f>
        <v>189.75</v>
      </c>
    </row>
    <row r="13" spans="1:17" x14ac:dyDescent="0.2">
      <c r="A13" s="9">
        <v>10</v>
      </c>
      <c r="B13" s="35">
        <f>NetworkingLESS!O14</f>
        <v>0.5413946932687439</v>
      </c>
      <c r="C13" s="35">
        <f>NetworkingLESS!W14</f>
        <v>0.54245658688780329</v>
      </c>
      <c r="D13" s="25"/>
      <c r="E13" s="40">
        <f>NetworkingLESS!K14</f>
        <v>2.4300000000000002</v>
      </c>
      <c r="F13" s="20">
        <f>NetworkingLESS!S14</f>
        <v>3.88</v>
      </c>
      <c r="G13" s="20">
        <f>NetworkingLESS!AA14</f>
        <v>37.33</v>
      </c>
      <c r="I13" s="9">
        <v>10</v>
      </c>
      <c r="J13" s="42">
        <f>NetworkingLESS!P14</f>
        <v>0.61640023899512164</v>
      </c>
      <c r="K13" s="42">
        <f>NetworkingLESS!X14</f>
        <v>0.61728845841278857</v>
      </c>
      <c r="L13" s="42">
        <f>NetworkingLESS!AE13</f>
        <v>0.1022115943167185</v>
      </c>
      <c r="M13" s="25"/>
      <c r="N13" s="40">
        <f>NetworkingLESS!K14</f>
        <v>2.4300000000000002</v>
      </c>
      <c r="O13" s="20">
        <f>NetworkingLESS!S14</f>
        <v>3.88</v>
      </c>
      <c r="P13" s="20">
        <f>NetworkingLESS!AA14</f>
        <v>37.33</v>
      </c>
      <c r="Q13" s="20">
        <f>NetworkingLESS!AH14</f>
        <v>331.75</v>
      </c>
    </row>
    <row r="14" spans="1:17" x14ac:dyDescent="0.2">
      <c r="A14" s="9">
        <v>11</v>
      </c>
      <c r="B14" s="35">
        <f>NetworkingLESS!O15</f>
        <v>0.6522570142426859</v>
      </c>
      <c r="C14" s="35">
        <f>NetworkingLESS!W15</f>
        <v>0.65331813058980936</v>
      </c>
      <c r="D14" s="25"/>
      <c r="E14" s="40">
        <f>NetworkingLESS!K15</f>
        <v>3.8</v>
      </c>
      <c r="F14" s="20">
        <f>NetworkingLESS!S15</f>
        <v>6.13</v>
      </c>
      <c r="G14" s="20">
        <f>NetworkingLESS!AA15</f>
        <v>60.39</v>
      </c>
      <c r="I14" s="9">
        <v>11</v>
      </c>
      <c r="J14" s="42">
        <f>NetworkingLESS!P15</f>
        <v>0.69807901759231528</v>
      </c>
      <c r="K14" s="42">
        <f>NetworkingLESS!X15</f>
        <v>0.69900031091265258</v>
      </c>
      <c r="L14" s="42">
        <f>NetworkingLESS!AE14</f>
        <v>0.16355141256647338</v>
      </c>
      <c r="M14" s="25"/>
      <c r="N14" s="40">
        <f>NetworkingLESS!K15</f>
        <v>3.8</v>
      </c>
      <c r="O14" s="20">
        <f>NetworkingLESS!S15</f>
        <v>6.13</v>
      </c>
      <c r="P14" s="20">
        <f>NetworkingLESS!AA15</f>
        <v>60.39</v>
      </c>
      <c r="Q14" s="20">
        <f>NetworkingLESS!AH15</f>
        <v>541.70000000000005</v>
      </c>
    </row>
    <row r="15" spans="1:17" x14ac:dyDescent="0.2">
      <c r="A15" s="9">
        <v>12</v>
      </c>
      <c r="B15" s="35">
        <f>NetworkingLESS!O16</f>
        <v>0.69484084980239957</v>
      </c>
      <c r="C15" s="35">
        <f>NetworkingLESS!W16</f>
        <v>0.69568396396855958</v>
      </c>
      <c r="D15" s="25"/>
      <c r="E15" s="40">
        <f>NetworkingLESS!K16</f>
        <v>15.53</v>
      </c>
      <c r="F15" s="20">
        <f>NetworkingLESS!S16</f>
        <v>25.1</v>
      </c>
      <c r="G15" s="20">
        <f>NetworkingLESS!AA16</f>
        <v>290.14</v>
      </c>
      <c r="I15" s="9">
        <v>12</v>
      </c>
      <c r="J15" s="42">
        <f>NetworkingLESS!P16</f>
        <v>0.74543395593003559</v>
      </c>
      <c r="K15" s="42">
        <f>NetworkingLESS!X16</f>
        <v>0.74613728806947743</v>
      </c>
      <c r="L15" s="42">
        <f>NetworkingLESS!AE15</f>
        <v>0.13176974152286161</v>
      </c>
      <c r="M15" s="25"/>
      <c r="N15" s="40">
        <f>NetworkingLESS!K16</f>
        <v>15.53</v>
      </c>
      <c r="O15" s="20">
        <f>NetworkingLESS!S16</f>
        <v>25.1</v>
      </c>
      <c r="P15" s="20">
        <f>NetworkingLESS!AA16</f>
        <v>290.14</v>
      </c>
      <c r="Q15" s="20">
        <f>NetworkingLESS!AH16</f>
        <v>2601.5499999999997</v>
      </c>
    </row>
    <row r="16" spans="1:17" x14ac:dyDescent="0.2">
      <c r="A16" s="9">
        <v>13</v>
      </c>
      <c r="B16" s="35">
        <f>NetworkingLESS!O17</f>
        <v>0.64769768811140194</v>
      </c>
      <c r="C16" s="35">
        <f>NetworkingLESS!W17</f>
        <v>0.64907389672760296</v>
      </c>
      <c r="D16" s="25"/>
      <c r="E16" s="40">
        <f>NetworkingLESS!K17</f>
        <v>35.65</v>
      </c>
      <c r="F16" s="20">
        <f>NetworkingLESS!S17</f>
        <v>57.41</v>
      </c>
      <c r="G16" s="20">
        <f>NetworkingLESS!AA17</f>
        <v>749.64</v>
      </c>
      <c r="I16" s="9">
        <v>13</v>
      </c>
      <c r="J16" s="42">
        <f>NetworkingLESS!P17</f>
        <v>0.70412597865789006</v>
      </c>
      <c r="K16" s="42">
        <f>NetworkingLESS!X17</f>
        <v>0.70528175982576902</v>
      </c>
      <c r="L16" s="42">
        <f>NetworkingLESS!AE16</f>
        <v>0.16579252529336042</v>
      </c>
      <c r="M16" s="25"/>
      <c r="N16" s="40">
        <f>NetworkingLESS!K17</f>
        <v>35.65</v>
      </c>
      <c r="O16" s="20">
        <f>NetworkingLESS!S17</f>
        <v>57.41</v>
      </c>
      <c r="P16" s="20">
        <f>NetworkingLESS!AA17</f>
        <v>749.64</v>
      </c>
      <c r="Q16" s="20">
        <f>NetworkingLESS!AH17</f>
        <v>6781.25</v>
      </c>
    </row>
    <row r="17" spans="1:17" x14ac:dyDescent="0.2">
      <c r="A17" s="9">
        <v>14</v>
      </c>
      <c r="B17" s="35">
        <f>NetworkingLESS!O18</f>
        <v>0.68604872530373229</v>
      </c>
      <c r="C17" s="35">
        <f>NetworkingLESS!W18</f>
        <v>0.67501148663614552</v>
      </c>
      <c r="D17" s="25"/>
      <c r="E17" s="40">
        <f>NetworkingLESS!K18</f>
        <v>66.44</v>
      </c>
      <c r="F17" s="20">
        <f>NetworkingLESS!S18</f>
        <v>104.96</v>
      </c>
      <c r="G17" s="20">
        <f>NetworkingLESS!AA18</f>
        <v>1209.1400000000001</v>
      </c>
      <c r="I17" s="9">
        <v>14</v>
      </c>
      <c r="J17" s="42">
        <f>NetworkingLESS!P18</f>
        <v>0.75716407654483664</v>
      </c>
      <c r="K17" s="42">
        <f>NetworkingLESS!X18</f>
        <v>0.74862696183864064</v>
      </c>
      <c r="L17" s="42">
        <f>NetworkingLESS!AE17</f>
        <v>0.16017008302895094</v>
      </c>
      <c r="M17" s="25"/>
      <c r="N17" s="40">
        <f>NetworkingLESS!K18</f>
        <v>66.44</v>
      </c>
      <c r="O17" s="20">
        <f>NetworkingLESS!S18</f>
        <v>104.96</v>
      </c>
      <c r="P17" s="20">
        <f>NetworkingLESS!AA18</f>
        <v>1209.1400000000001</v>
      </c>
      <c r="Q17" s="20">
        <f>NetworkingLESS!AH18</f>
        <v>11609.75</v>
      </c>
    </row>
    <row r="18" spans="1:17" x14ac:dyDescent="0.2">
      <c r="A18" s="9">
        <v>15</v>
      </c>
      <c r="B18" s="35">
        <f>NetworkingLESS!O19</f>
        <v>0.61575619066907861</v>
      </c>
      <c r="C18" s="35">
        <f>NetworkingLESS!W19</f>
        <v>0.61661196752727665</v>
      </c>
      <c r="D18" s="25"/>
      <c r="E18" s="40">
        <f>NetworkingLESS!K19</f>
        <v>109.15</v>
      </c>
      <c r="F18" s="20">
        <f>NetworkingLESS!S19</f>
        <v>168.04</v>
      </c>
      <c r="G18" s="20">
        <f>NetworkingLESS!AA19</f>
        <v>1668.64</v>
      </c>
      <c r="I18" s="9">
        <v>15</v>
      </c>
      <c r="J18" s="42">
        <f>NetworkingLESS!P19</f>
        <v>0.67047690055471298</v>
      </c>
      <c r="K18" s="42">
        <f>NetworkingLESS!X19</f>
        <v>0.6712108050078206</v>
      </c>
      <c r="L18" s="42">
        <f>NetworkingLESS!AE18</f>
        <v>0.22651716037752964</v>
      </c>
      <c r="M18" s="25"/>
      <c r="N18" s="40">
        <f>NetworkingLESS!K19</f>
        <v>109.15</v>
      </c>
      <c r="O18" s="20">
        <f>NetworkingLESS!S19</f>
        <v>168.04</v>
      </c>
      <c r="P18" s="20">
        <f>NetworkingLESS!AA19</f>
        <v>1668.64</v>
      </c>
      <c r="Q18" s="20">
        <f>NetworkingLESS!AH19</f>
        <v>14829.849999999999</v>
      </c>
    </row>
    <row r="19" spans="1:17" ht="16" thickBot="1" x14ac:dyDescent="0.25">
      <c r="A19" s="41" t="s">
        <v>29</v>
      </c>
      <c r="B19" s="37">
        <f>AVERAGE(B4:B18)</f>
        <v>0.52510754267311743</v>
      </c>
      <c r="C19" s="37">
        <f>AVERAGE(C4:C18)</f>
        <v>0.47793046911043408</v>
      </c>
      <c r="D19" s="37"/>
      <c r="E19" s="39">
        <f>AVERAGE(E4:E18)</f>
        <v>15.685333333333334</v>
      </c>
      <c r="F19" s="39">
        <f>AVERAGE(F4:F18)</f>
        <v>24.616</v>
      </c>
      <c r="G19" s="39">
        <f>AVERAGE(G4:G18)</f>
        <v>269.90400000000005</v>
      </c>
      <c r="I19" s="41" t="s">
        <v>29</v>
      </c>
      <c r="J19" s="45">
        <f>AVERAGE(J4:J18)</f>
        <v>0.60318289795581981</v>
      </c>
      <c r="K19" s="45">
        <f>AVERAGE(K4:K18)</f>
        <v>0.56291254421347015</v>
      </c>
      <c r="L19" s="45">
        <f>AVERAGE(L4:L18)</f>
        <v>0.1494141881061502</v>
      </c>
      <c r="M19" s="37"/>
      <c r="N19" s="39">
        <f>AVERAGE(N4:N18)</f>
        <v>15.685333333333334</v>
      </c>
      <c r="O19" s="39">
        <f>AVERAGE(O4:O18)</f>
        <v>24.616</v>
      </c>
      <c r="P19" s="39">
        <f>AVERAGE(P4:P18)</f>
        <v>269.90400000000005</v>
      </c>
      <c r="Q19" s="39">
        <f>AVERAGE(Q4:Q18)</f>
        <v>2467.8599999999997</v>
      </c>
    </row>
    <row r="20" spans="1:17" x14ac:dyDescent="0.2">
      <c r="A20" s="9">
        <v>16</v>
      </c>
      <c r="B20" s="35">
        <f>NetworkingLESS!O20</f>
        <v>0.52836154506374644</v>
      </c>
      <c r="C20" s="35">
        <f>NetworkingLESS!W20</f>
        <v>0.50870988212878476</v>
      </c>
      <c r="D20" s="35"/>
      <c r="E20" s="40">
        <f>NetworkingLESS!K20</f>
        <v>163.15</v>
      </c>
      <c r="F20" s="20">
        <f>NetworkingLESS!S20</f>
        <v>253.59</v>
      </c>
      <c r="G20" s="20">
        <f>NetworkingLESS!AA20</f>
        <v>2128.14</v>
      </c>
      <c r="I20" s="9">
        <v>16</v>
      </c>
      <c r="J20" s="42">
        <f>NetworkingLESS!P20</f>
        <v>0.60366517616572668</v>
      </c>
      <c r="K20" s="42">
        <f>NetworkingLESS!X20</f>
        <v>0.58715117420964946</v>
      </c>
      <c r="L20" s="42">
        <f>NetworkingLESS!AE20</f>
        <v>0.15966389151232019</v>
      </c>
      <c r="M20" s="35"/>
      <c r="N20" s="40">
        <f>NetworkingLESS!K20</f>
        <v>163.15</v>
      </c>
      <c r="O20" s="20">
        <f>NetworkingLESS!S20</f>
        <v>253.59</v>
      </c>
      <c r="P20" s="20">
        <f>NetworkingLESS!AA20</f>
        <v>2128.14</v>
      </c>
      <c r="Q20" s="20">
        <f>NetworkingLESS!AH20</f>
        <v>18913.650000000001</v>
      </c>
    </row>
    <row r="21" spans="1:17" x14ac:dyDescent="0.2">
      <c r="A21" s="9">
        <v>17</v>
      </c>
      <c r="B21" s="35">
        <f>NetworkingLESS!O21</f>
        <v>0.5750799051359109</v>
      </c>
      <c r="C21" s="35">
        <f>NetworkingLESS!W21</f>
        <v>0.55737480624537106</v>
      </c>
      <c r="D21" s="35"/>
      <c r="E21" s="40">
        <f>NetworkingLESS!K21</f>
        <v>231.98</v>
      </c>
      <c r="F21" s="20">
        <f>NetworkingLESS!S21</f>
        <v>357.76</v>
      </c>
      <c r="G21" s="20">
        <f>NetworkingLESS!AA21</f>
        <v>2587.64</v>
      </c>
      <c r="I21" s="9">
        <v>17</v>
      </c>
      <c r="J21" s="42">
        <f>NetworkingLESS!P21</f>
        <v>0.65453651067849239</v>
      </c>
      <c r="K21" s="42">
        <f>NetworkingLESS!X21</f>
        <v>0.6401421214381704</v>
      </c>
      <c r="L21" s="42">
        <f>NetworkingLESS!AE21</f>
        <v>0.18699187565604714</v>
      </c>
      <c r="M21" s="35"/>
      <c r="N21" s="40">
        <f>NetworkingLESS!K21</f>
        <v>231.98</v>
      </c>
      <c r="O21" s="20">
        <f>NetworkingLESS!S21</f>
        <v>357.76</v>
      </c>
      <c r="P21" s="20">
        <f>NetworkingLESS!AA21</f>
        <v>2587.64</v>
      </c>
      <c r="Q21" s="20">
        <f>NetworkingLESS!AH21</f>
        <v>25256.100000000002</v>
      </c>
    </row>
    <row r="22" spans="1:17" x14ac:dyDescent="0.2">
      <c r="A22" s="9">
        <v>18</v>
      </c>
      <c r="B22" s="35">
        <f>NetworkingLESS!O22</f>
        <v>0.57020981320619024</v>
      </c>
      <c r="C22" s="35">
        <f>NetworkingLESS!W22</f>
        <v>0.55230188875644814</v>
      </c>
      <c r="D22" s="35"/>
      <c r="E22" s="40">
        <f>NetworkingLESS!K22</f>
        <v>316.45999999999998</v>
      </c>
      <c r="F22" s="20">
        <f>NetworkingLESS!S22</f>
        <v>496.71</v>
      </c>
      <c r="G22" s="20">
        <f>NetworkingLESS!AA22</f>
        <v>3047.14</v>
      </c>
      <c r="I22" s="9">
        <v>18</v>
      </c>
      <c r="J22" s="42">
        <f>NetworkingLESS!P22</f>
        <v>0.66752255561420182</v>
      </c>
      <c r="K22" s="42">
        <f>NetworkingLESS!X22</f>
        <v>0.65366932876479356</v>
      </c>
      <c r="L22" s="42">
        <f>NetworkingLESS!AE22</f>
        <v>0.22641918172668052</v>
      </c>
      <c r="M22" s="35"/>
      <c r="N22" s="40">
        <f>NetworkingLESS!K22</f>
        <v>316.45999999999998</v>
      </c>
      <c r="O22" s="20">
        <f>NetworkingLESS!S22</f>
        <v>496.71</v>
      </c>
      <c r="P22" s="20">
        <f>NetworkingLESS!AA22</f>
        <v>3047.14</v>
      </c>
      <c r="Q22" s="20">
        <f>NetworkingLESS!AH22</f>
        <v>28532.15</v>
      </c>
    </row>
    <row r="23" spans="1:17" x14ac:dyDescent="0.2">
      <c r="A23" s="9">
        <v>19</v>
      </c>
      <c r="B23" s="35">
        <f>NetworkingLESS!O23</f>
        <v>0.60378255634382039</v>
      </c>
      <c r="C23" s="35">
        <f>NetworkingLESS!W23</f>
        <v>0.43100747729743932</v>
      </c>
      <c r="D23" s="35"/>
      <c r="E23" s="40">
        <f>NetworkingLESS!K23</f>
        <v>415.75</v>
      </c>
      <c r="F23" s="20">
        <f>NetworkingLESS!S23</f>
        <v>653.14</v>
      </c>
      <c r="G23" s="20">
        <f>NetworkingLESS!AA23</f>
        <v>3506.64</v>
      </c>
      <c r="I23" s="9">
        <v>19</v>
      </c>
      <c r="J23" s="42">
        <f>NetworkingLESS!P23</f>
        <v>0.67254756798749971</v>
      </c>
      <c r="K23" s="42">
        <f>NetworkingLESS!X23</f>
        <v>0.5297582467934957</v>
      </c>
      <c r="L23" s="42">
        <f>NetworkingLESS!AE23</f>
        <v>0.17355372092943666</v>
      </c>
      <c r="M23" s="35"/>
      <c r="N23" s="40">
        <f>NetworkingLESS!K23</f>
        <v>415.75</v>
      </c>
      <c r="O23" s="20">
        <f>NetworkingLESS!S23</f>
        <v>653.14</v>
      </c>
      <c r="P23" s="20">
        <f>NetworkingLESS!AA23</f>
        <v>3506.64</v>
      </c>
      <c r="Q23" s="20">
        <f>NetworkingLESS!AH23</f>
        <v>33112.9</v>
      </c>
    </row>
    <row r="24" spans="1:17" x14ac:dyDescent="0.2">
      <c r="A24" s="9">
        <v>20</v>
      </c>
      <c r="B24" s="35">
        <f>NetworkingLESS!O24</f>
        <v>0.61083766712761545</v>
      </c>
      <c r="C24" s="35">
        <f>NetworkingLESS!W24</f>
        <v>0.59462254629610678</v>
      </c>
      <c r="D24" s="35"/>
      <c r="E24" s="40">
        <f>NetworkingLESS!K24</f>
        <v>530.86</v>
      </c>
      <c r="F24" s="20">
        <f>NetworkingLESS!S24</f>
        <v>860.19</v>
      </c>
      <c r="G24" s="20">
        <f>NetworkingLESS!AA24</f>
        <v>3966.14</v>
      </c>
      <c r="I24" s="9">
        <v>20</v>
      </c>
      <c r="J24" s="42">
        <f>NetworkingLESS!P24</f>
        <v>0.67424732297659173</v>
      </c>
      <c r="K24" s="42">
        <f>NetworkingLESS!X24</f>
        <v>0.6606742749887895</v>
      </c>
      <c r="L24" s="42">
        <f>NetworkingLESS!AE24</f>
        <v>0.16293883167200007</v>
      </c>
      <c r="M24" s="35"/>
      <c r="N24" s="40">
        <f>NetworkingLESS!K24</f>
        <v>530.86</v>
      </c>
      <c r="O24" s="20">
        <f>NetworkingLESS!S24</f>
        <v>860.19</v>
      </c>
      <c r="P24" s="20">
        <f>NetworkingLESS!AA24</f>
        <v>3966.14</v>
      </c>
      <c r="Q24" s="20">
        <f>NetworkingLESS!AH24</f>
        <v>39025.599999999999</v>
      </c>
    </row>
    <row r="25" spans="1:17" x14ac:dyDescent="0.2">
      <c r="A25" s="36">
        <v>21</v>
      </c>
      <c r="B25" s="35">
        <f>NetworkingLESS!O25</f>
        <v>0.58097829271440793</v>
      </c>
      <c r="C25" s="35">
        <f>NetworkingLESS!W25</f>
        <v>0.56351904634939931</v>
      </c>
      <c r="D25" s="35"/>
      <c r="E25" s="40">
        <f>NetworkingLESS!K25</f>
        <v>672.84</v>
      </c>
      <c r="F25" s="20">
        <f>NetworkingLESS!S25</f>
        <v>1067.24</v>
      </c>
      <c r="G25" s="20">
        <f>NetworkingLESS!AA25</f>
        <v>4425.6400000000003</v>
      </c>
      <c r="I25" s="36">
        <v>21</v>
      </c>
      <c r="J25" s="42">
        <f>NetworkingLESS!P25</f>
        <v>0.63243709953478622</v>
      </c>
      <c r="K25" s="42">
        <f>NetworkingLESS!X25</f>
        <v>0.61712197117203205</v>
      </c>
      <c r="L25" s="42">
        <f>NetworkingLESS!AE25</f>
        <v>0.12280701912492008</v>
      </c>
      <c r="M25" s="35"/>
      <c r="N25" s="40">
        <f>NetworkingLESS!K25</f>
        <v>672.84</v>
      </c>
      <c r="O25" s="20">
        <f>NetworkingLESS!S25</f>
        <v>1067.24</v>
      </c>
      <c r="P25" s="20">
        <f>NetworkingLESS!AA25</f>
        <v>4425.6400000000003</v>
      </c>
      <c r="Q25" s="20">
        <f>NetworkingLESS!AH25</f>
        <v>41087.9</v>
      </c>
    </row>
    <row r="26" spans="1:17" ht="16" thickBot="1" x14ac:dyDescent="0.25">
      <c r="A26" s="34" t="s">
        <v>29</v>
      </c>
      <c r="B26" s="37">
        <f>AVERAGE(B20:B25)</f>
        <v>0.57820829659861517</v>
      </c>
      <c r="C26" s="37">
        <f>AVERAGE(C20:C25)</f>
        <v>0.53458927451225824</v>
      </c>
      <c r="D26" s="37"/>
      <c r="E26" s="39">
        <f>AVERAGE(E20:E25)</f>
        <v>388.50666666666666</v>
      </c>
      <c r="F26" s="39">
        <f>AVERAGE(F20:F25)</f>
        <v>614.77166666666665</v>
      </c>
      <c r="G26" s="39">
        <f>AVERAGE(G20:G25)</f>
        <v>3276.89</v>
      </c>
      <c r="I26" s="34" t="s">
        <v>29</v>
      </c>
      <c r="J26" s="45">
        <f>AVERAGE(J20:J25)</f>
        <v>0.65082603882621637</v>
      </c>
      <c r="K26" s="45">
        <f>AVERAGE(K20:K25)</f>
        <v>0.61475285289448844</v>
      </c>
      <c r="L26" s="45">
        <f>AVERAGE(L20:L25)</f>
        <v>0.17206242010356743</v>
      </c>
      <c r="M26" s="37"/>
      <c r="N26" s="39">
        <f>AVERAGE(N20:N25)</f>
        <v>388.50666666666666</v>
      </c>
      <c r="O26" s="39">
        <f>AVERAGE(O20:O25)</f>
        <v>614.77166666666665</v>
      </c>
      <c r="P26" s="39">
        <f>AVERAGE(P20:P25)</f>
        <v>3276.89</v>
      </c>
      <c r="Q26" s="39">
        <f>AVERAGE(Q20:Q25)</f>
        <v>30988.05</v>
      </c>
    </row>
  </sheetData>
  <mergeCells count="6">
    <mergeCell ref="N2:Q2"/>
    <mergeCell ref="A2:A3"/>
    <mergeCell ref="B2:C2"/>
    <mergeCell ref="E2:G2"/>
    <mergeCell ref="I2:I3"/>
    <mergeCell ref="J2:L2"/>
  </mergeCell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D3073-CA55-8949-9F2C-A8E081473853}">
  <dimension ref="A1:E26"/>
  <sheetViews>
    <sheetView workbookViewId="0">
      <selection activeCell="A2" sqref="A2:B18"/>
    </sheetView>
  </sheetViews>
  <sheetFormatPr baseColWidth="10" defaultRowHeight="15" x14ac:dyDescent="0.2"/>
  <cols>
    <col min="2" max="2" width="17" customWidth="1"/>
    <col min="5" max="5" width="17" customWidth="1"/>
  </cols>
  <sheetData>
    <row r="1" spans="1:5" ht="16" thickBot="1" x14ac:dyDescent="0.25">
      <c r="A1" s="34"/>
      <c r="B1" s="34"/>
      <c r="D1" s="34"/>
      <c r="E1" s="34"/>
    </row>
    <row r="2" spans="1:5" ht="35" customHeight="1" x14ac:dyDescent="0.2">
      <c r="A2" s="27" t="s">
        <v>1</v>
      </c>
      <c r="B2" s="27" t="s">
        <v>53</v>
      </c>
      <c r="D2" s="27" t="s">
        <v>54</v>
      </c>
      <c r="E2" s="27" t="s">
        <v>53</v>
      </c>
    </row>
    <row r="3" spans="1:5" x14ac:dyDescent="0.2">
      <c r="A3" s="38">
        <v>1</v>
      </c>
      <c r="B3" s="50">
        <f>NetworkingLESS!AR5</f>
        <v>1.264367816091954</v>
      </c>
      <c r="D3" s="38">
        <v>1</v>
      </c>
      <c r="E3" s="52">
        <f>NetworkingLESS!AU5</f>
        <v>1.090496804782519</v>
      </c>
    </row>
    <row r="4" spans="1:5" x14ac:dyDescent="0.2">
      <c r="A4" s="9">
        <v>2</v>
      </c>
      <c r="B4" s="50">
        <f>NetworkingLESS!AR6</f>
        <v>1.1815235008103728</v>
      </c>
      <c r="D4" s="9">
        <v>2</v>
      </c>
      <c r="E4" s="52">
        <f>NetworkingLESS!AU6</f>
        <v>2.189274447949527</v>
      </c>
    </row>
    <row r="5" spans="1:5" x14ac:dyDescent="0.2">
      <c r="A5" s="9">
        <v>3</v>
      </c>
      <c r="B5" s="50">
        <f>NetworkingLESS!AR7</f>
        <v>1.9870087690808704</v>
      </c>
      <c r="D5" s="9">
        <v>3</v>
      </c>
      <c r="E5" s="52">
        <f>NetworkingLESS!AU7</f>
        <v>3.0635853244548898</v>
      </c>
    </row>
    <row r="6" spans="1:5" x14ac:dyDescent="0.2">
      <c r="A6" s="9">
        <v>4</v>
      </c>
      <c r="B6" s="50">
        <f>NetworkingLESS!AR8</f>
        <v>1.6695869837296622</v>
      </c>
      <c r="D6" s="9">
        <v>4</v>
      </c>
      <c r="E6" s="52">
        <f>NetworkingLESS!AU8</f>
        <v>3.2994710266891079</v>
      </c>
    </row>
    <row r="7" spans="1:5" x14ac:dyDescent="0.2">
      <c r="A7" s="9">
        <v>5</v>
      </c>
      <c r="B7" s="50">
        <f>NetworkingLESS!AR9</f>
        <v>2.3034802784222737</v>
      </c>
      <c r="D7" s="9">
        <v>5</v>
      </c>
      <c r="E7" s="52">
        <f>NetworkingLESS!AU9</f>
        <v>2.8342973172532613</v>
      </c>
    </row>
    <row r="8" spans="1:5" x14ac:dyDescent="0.2">
      <c r="A8" s="9">
        <v>6</v>
      </c>
      <c r="B8" s="50">
        <f>NetworkingLESS!AR10</f>
        <v>1.4001526005680132</v>
      </c>
      <c r="D8" s="9">
        <v>6</v>
      </c>
      <c r="E8" s="52">
        <f>NetworkingLESS!AU10</f>
        <v>1.7958758239900841</v>
      </c>
    </row>
    <row r="9" spans="1:5" x14ac:dyDescent="0.2">
      <c r="A9" s="9">
        <v>7</v>
      </c>
      <c r="B9" s="50">
        <f>NetworkingLESS!AR11</f>
        <v>1.9103887510339124</v>
      </c>
      <c r="D9" s="9">
        <v>7</v>
      </c>
      <c r="E9" s="52">
        <f>NetworkingLESS!AU11</f>
        <v>4.7276299339167709</v>
      </c>
    </row>
    <row r="10" spans="1:5" x14ac:dyDescent="0.2">
      <c r="A10" s="9">
        <v>8</v>
      </c>
      <c r="B10" s="50">
        <f>NetworkingLESS!AR12</f>
        <v>2.194612268107186</v>
      </c>
      <c r="D10" s="9">
        <v>8</v>
      </c>
      <c r="E10" s="52">
        <f>NetworkingLESS!AU12</f>
        <v>3.20925347507626</v>
      </c>
    </row>
    <row r="11" spans="1:5" x14ac:dyDescent="0.2">
      <c r="A11" s="9">
        <v>9</v>
      </c>
      <c r="B11" s="50">
        <f>NetworkingLESS!AR13</f>
        <v>1.6686743465294427</v>
      </c>
      <c r="D11" s="9">
        <v>9</v>
      </c>
      <c r="E11" s="52">
        <f>NetworkingLESS!AU13</f>
        <v>3.2540095877615043</v>
      </c>
    </row>
    <row r="12" spans="1:5" x14ac:dyDescent="0.2">
      <c r="A12" s="9">
        <v>10</v>
      </c>
      <c r="B12" s="50">
        <f>NetworkingLESS!AR14</f>
        <v>2.1977245372242495</v>
      </c>
      <c r="D12" s="9">
        <v>10</v>
      </c>
      <c r="E12" s="52">
        <f>NetworkingLESS!AU14</f>
        <v>2.2357860687223137</v>
      </c>
    </row>
    <row r="13" spans="1:5" x14ac:dyDescent="0.2">
      <c r="A13" s="9">
        <v>11</v>
      </c>
      <c r="B13" s="50">
        <f>NetworkingLESS!AR15</f>
        <v>2.4277194994434512</v>
      </c>
      <c r="D13" s="9">
        <v>11</v>
      </c>
      <c r="E13" s="52">
        <f>NetworkingLESS!AU15</f>
        <v>1.9093339257554292</v>
      </c>
    </row>
    <row r="14" spans="1:5" x14ac:dyDescent="0.2">
      <c r="A14" s="9">
        <v>12</v>
      </c>
      <c r="B14" s="50">
        <f>NetworkingLESS!AR16</f>
        <v>4.000458780030268</v>
      </c>
      <c r="D14" s="9">
        <v>12</v>
      </c>
      <c r="E14" s="52">
        <f>NetworkingLESS!AU16</f>
        <v>3.4347782396199698</v>
      </c>
    </row>
    <row r="15" spans="1:5" x14ac:dyDescent="0.2">
      <c r="A15" s="9">
        <v>13</v>
      </c>
      <c r="B15" s="50">
        <f>NetworkingLESS!AR17</f>
        <v>5.1860774191743264</v>
      </c>
      <c r="D15" s="9">
        <v>13</v>
      </c>
      <c r="E15" s="52">
        <f>NetworkingLESS!AU17</f>
        <v>2.144722882502724</v>
      </c>
    </row>
    <row r="16" spans="1:5" x14ac:dyDescent="0.2">
      <c r="A16" s="9">
        <v>14</v>
      </c>
      <c r="B16" s="50">
        <f>NetworkingLESS!AR18</f>
        <v>7.0191855263593892</v>
      </c>
      <c r="D16" s="9">
        <v>14</v>
      </c>
      <c r="E16" s="52">
        <f>NetworkingLESS!AU18</f>
        <v>2.3275218945928802</v>
      </c>
    </row>
    <row r="17" spans="1:5" x14ac:dyDescent="0.2">
      <c r="A17" s="9">
        <v>15</v>
      </c>
      <c r="B17" s="50">
        <f>NetworkingLESS!AR19</f>
        <v>3.0721206228462759</v>
      </c>
      <c r="D17" s="9">
        <v>15</v>
      </c>
      <c r="E17" s="52">
        <f>NetworkingLESS!AU19</f>
        <v>4.3454050733470773</v>
      </c>
    </row>
    <row r="18" spans="1:5" ht="16" thickBot="1" x14ac:dyDescent="0.25">
      <c r="A18" s="41" t="s">
        <v>29</v>
      </c>
      <c r="B18" s="51">
        <f>AVERAGE(B3:B17)</f>
        <v>2.6322054466301097</v>
      </c>
      <c r="D18" s="9">
        <v>16</v>
      </c>
      <c r="E18" s="52">
        <f>NetworkingLESS!AU20</f>
        <v>2.5317209292925935</v>
      </c>
    </row>
    <row r="19" spans="1:5" x14ac:dyDescent="0.2">
      <c r="A19" s="9"/>
      <c r="B19" s="35"/>
      <c r="D19" s="9">
        <v>17</v>
      </c>
      <c r="E19" s="52">
        <f>NetworkingLESS!AU21</f>
        <v>3.1157126291999697</v>
      </c>
    </row>
    <row r="20" spans="1:5" x14ac:dyDescent="0.2">
      <c r="A20" s="9"/>
      <c r="B20" s="35"/>
      <c r="D20" s="9">
        <v>18</v>
      </c>
      <c r="E20" s="52">
        <f>NetworkingLESS!AU22</f>
        <v>1.8803777281087408</v>
      </c>
    </row>
    <row r="21" spans="1:5" x14ac:dyDescent="0.2">
      <c r="A21" s="9"/>
      <c r="B21" s="35"/>
      <c r="D21" s="9">
        <v>19</v>
      </c>
      <c r="E21" s="52">
        <f>NetworkingLESS!AU23</f>
        <v>5.9357221288367672</v>
      </c>
    </row>
    <row r="22" spans="1:5" x14ac:dyDescent="0.2">
      <c r="A22" s="9"/>
      <c r="B22" s="35"/>
      <c r="D22" s="9">
        <v>20</v>
      </c>
      <c r="E22" s="52">
        <f>NetworkingLESS!AU24</f>
        <v>3.4341686913827978</v>
      </c>
    </row>
    <row r="23" spans="1:5" x14ac:dyDescent="0.2">
      <c r="A23" s="9"/>
      <c r="B23" s="35"/>
      <c r="D23" s="36">
        <v>21</v>
      </c>
      <c r="E23" s="52">
        <f>NetworkingLESS!AU25</f>
        <v>2.1346743804750723</v>
      </c>
    </row>
    <row r="24" spans="1:5" ht="16" thickBot="1" x14ac:dyDescent="0.25">
      <c r="A24" s="9"/>
      <c r="B24" s="35"/>
      <c r="D24" s="34" t="s">
        <v>29</v>
      </c>
      <c r="E24" s="53">
        <f>AVERAGE(E3:E23)</f>
        <v>2.8997056339862035</v>
      </c>
    </row>
    <row r="25" spans="1:5" x14ac:dyDescent="0.2">
      <c r="A25" s="9"/>
      <c r="B25" s="35"/>
    </row>
    <row r="26" spans="1:5" x14ac:dyDescent="0.2">
      <c r="A26" s="9"/>
      <c r="B26" s="35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loose channel</vt:lpstr>
      <vt:lpstr>Durations</vt:lpstr>
      <vt:lpstr>strict channel</vt:lpstr>
      <vt:lpstr>Sheet1</vt:lpstr>
      <vt:lpstr>NetworkingEXX</vt:lpstr>
      <vt:lpstr>NetworkingLESS</vt:lpstr>
      <vt:lpstr>Sheet2</vt:lpstr>
      <vt:lpstr>TestInstances</vt:lpstr>
      <vt:lpstr>OV over DM</vt:lpstr>
      <vt:lpstr>OvGap</vt:lpstr>
      <vt:lpstr>IntraGap</vt:lpstr>
      <vt:lpstr>Net Effect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dursun koc</dc:creator>
  <cp:keywords>KİŞİSEL</cp:keywords>
  <cp:lastModifiedBy>Microsoft Office User</cp:lastModifiedBy>
  <dcterms:created xsi:type="dcterms:W3CDTF">2022-10-16T10:58:06Z</dcterms:created>
  <dcterms:modified xsi:type="dcterms:W3CDTF">2026-05-02T22:01:38Z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6d70a7f3-10bc-4cea-b772-95c29eedd365</vt:lpwstr>
  </property>
  <property fmtid="{D5CDD505-2E9C-101B-9397-08002B2CF9AE}" pid="3" name="TURKCELLCLASSIFICATION">
    <vt:lpwstr>KİŞİSEL</vt:lpwstr>
  </property>
</Properties>
</file>